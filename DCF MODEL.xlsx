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Finance project\"/>
    </mc:Choice>
  </mc:AlternateContent>
  <xr:revisionPtr revIDLastSave="0" documentId="13_ncr:1_{805DBB9B-2B90-4B26-B4BE-EFFA6D504654}" xr6:coauthVersionLast="47" xr6:coauthVersionMax="47" xr10:uidLastSave="{00000000-0000-0000-0000-000000000000}"/>
  <bookViews>
    <workbookView xWindow="-120" yWindow="-120" windowWidth="20730" windowHeight="11040" xr2:uid="{80D4478B-0527-4AF7-8F73-14CB9BBA9BA0}"/>
  </bookViews>
  <sheets>
    <sheet name="Sheet1" sheetId="1" r:id="rId1"/>
    <sheet name="Comps" sheetId="3" r:id="rId2"/>
    <sheet name="Data Sheet" sheetId="2" r:id="rId3"/>
  </sheets>
  <externalReferences>
    <externalReference r:id="rId4"/>
    <externalReference r:id="rId5"/>
  </externalReferences>
  <definedNames>
    <definedName name="_xlnm.Print_Area" localSheetId="1">Comps!$A$1:$O$44</definedName>
    <definedName name="Taper_rate" localSheetId="1">#REF!</definedName>
    <definedName name="Taper_rate">'[1]DCF Model'!$C$22</definedName>
    <definedName name="Tax_rate" localSheetId="1">'[2]DCF Model'!$C$26</definedName>
    <definedName name="Tax_rate">Sheet1!$C$26</definedName>
    <definedName name="UPDATE" localSheetId="1">#REF!</definedName>
    <definedName name="UPDATE" localSheetId="2">'Data Sheet'!$E$1</definedName>
    <definedName name="UPDATE">#REF!</definedName>
  </definedNames>
  <calcPr calcId="191029" iterate="1" iterateDelta="9.999999999999445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7" i="1" l="1"/>
  <c r="C145" i="1"/>
  <c r="C100" i="1"/>
  <c r="C99" i="1"/>
  <c r="C96" i="1"/>
  <c r="C97" i="1" s="1"/>
  <c r="G20" i="3"/>
  <c r="G21" i="3"/>
  <c r="G22" i="3"/>
  <c r="G19" i="3"/>
  <c r="G42" i="3"/>
  <c r="O39" i="3"/>
  <c r="L39" i="3"/>
  <c r="K39" i="3"/>
  <c r="J39" i="3"/>
  <c r="H39" i="3"/>
  <c r="G39" i="3"/>
  <c r="E43" i="3" s="1"/>
  <c r="F39" i="3"/>
  <c r="E39" i="3"/>
  <c r="G44" i="3" s="1"/>
  <c r="D39" i="3"/>
  <c r="C39" i="3"/>
  <c r="B39" i="3"/>
  <c r="L34" i="3"/>
  <c r="O34" i="3" s="1"/>
  <c r="K34" i="3"/>
  <c r="J34" i="3"/>
  <c r="I34" i="3"/>
  <c r="N34" i="3" s="1"/>
  <c r="H34" i="3"/>
  <c r="G34" i="3"/>
  <c r="F34" i="3"/>
  <c r="E34" i="3"/>
  <c r="D34" i="3"/>
  <c r="C34" i="3"/>
  <c r="B34" i="3"/>
  <c r="O33" i="3"/>
  <c r="L33" i="3"/>
  <c r="K33" i="3"/>
  <c r="J33" i="3"/>
  <c r="H33" i="3"/>
  <c r="G33" i="3"/>
  <c r="F33" i="3"/>
  <c r="I33" i="3" s="1"/>
  <c r="D33" i="3"/>
  <c r="C33" i="3"/>
  <c r="B33" i="3"/>
  <c r="L32" i="3"/>
  <c r="O32" i="3" s="1"/>
  <c r="O37" i="3" s="1"/>
  <c r="K32" i="3"/>
  <c r="J32" i="3"/>
  <c r="I32" i="3"/>
  <c r="N32" i="3" s="1"/>
  <c r="H32" i="3"/>
  <c r="G32" i="3"/>
  <c r="F32" i="3"/>
  <c r="E32" i="3"/>
  <c r="D32" i="3"/>
  <c r="C32" i="3"/>
  <c r="B32" i="3"/>
  <c r="O31" i="3"/>
  <c r="L31" i="3"/>
  <c r="K31" i="3"/>
  <c r="J31" i="3"/>
  <c r="H31" i="3"/>
  <c r="G31" i="3"/>
  <c r="F31" i="3"/>
  <c r="I31" i="3" s="1"/>
  <c r="D31" i="3"/>
  <c r="C31" i="3"/>
  <c r="B31" i="3"/>
  <c r="H23" i="3"/>
  <c r="H22" i="3"/>
  <c r="F22" i="3"/>
  <c r="E22" i="3"/>
  <c r="I22" i="3" s="1"/>
  <c r="D22" i="3"/>
  <c r="C22" i="3"/>
  <c r="B22" i="3"/>
  <c r="H21" i="3"/>
  <c r="F21" i="3"/>
  <c r="E21" i="3"/>
  <c r="I21" i="3" s="1"/>
  <c r="D21" i="3"/>
  <c r="C21" i="3"/>
  <c r="B21" i="3"/>
  <c r="H20" i="3"/>
  <c r="F20" i="3"/>
  <c r="E20" i="3"/>
  <c r="I20" i="3" s="1"/>
  <c r="D20" i="3"/>
  <c r="C20" i="3"/>
  <c r="B20" i="3"/>
  <c r="H19" i="3"/>
  <c r="H24" i="3" s="1"/>
  <c r="F19" i="3"/>
  <c r="E19" i="3"/>
  <c r="D19" i="3"/>
  <c r="C19" i="3"/>
  <c r="B19" i="3"/>
  <c r="B158" i="1"/>
  <c r="B159" i="1" s="1"/>
  <c r="B156" i="1"/>
  <c r="B155" i="1" s="1"/>
  <c r="G154" i="1"/>
  <c r="H154" i="1" s="1"/>
  <c r="E154" i="1"/>
  <c r="D154" i="1" s="1"/>
  <c r="C154" i="1" s="1"/>
  <c r="C116" i="1"/>
  <c r="C107" i="1"/>
  <c r="C104" i="1"/>
  <c r="C105" i="1" s="1"/>
  <c r="G24" i="3" l="1"/>
  <c r="C101" i="1"/>
  <c r="C144" i="1"/>
  <c r="G23" i="3"/>
  <c r="E24" i="3"/>
  <c r="F24" i="3"/>
  <c r="N33" i="3"/>
  <c r="M33" i="3"/>
  <c r="N31" i="3"/>
  <c r="M31" i="3"/>
  <c r="O36" i="3"/>
  <c r="I19" i="3"/>
  <c r="E23" i="3"/>
  <c r="F23" i="3"/>
  <c r="E31" i="3"/>
  <c r="E33" i="3"/>
  <c r="E44" i="3"/>
  <c r="M32" i="3"/>
  <c r="M34" i="3"/>
  <c r="G43" i="3"/>
  <c r="I39" i="3"/>
  <c r="E42" i="3"/>
  <c r="N37" i="3" l="1"/>
  <c r="N36" i="3"/>
  <c r="I24" i="3"/>
  <c r="C109" i="1" s="1"/>
  <c r="I23" i="3"/>
  <c r="N39" i="3"/>
  <c r="M39" i="3"/>
  <c r="M36" i="3"/>
  <c r="M37" i="3"/>
  <c r="C42" i="3" s="1" a="1"/>
  <c r="C43" i="3" l="1"/>
  <c r="D43" i="3" s="1"/>
  <c r="F43" i="3" s="1"/>
  <c r="H43" i="3" s="1"/>
  <c r="C42" i="3"/>
  <c r="D42" i="3" s="1"/>
  <c r="F42" i="3" s="1"/>
  <c r="H42" i="3" s="1"/>
  <c r="C44" i="3"/>
  <c r="F44" i="3" s="1"/>
  <c r="H44" i="3" l="1"/>
  <c r="D44" i="3"/>
  <c r="D68" i="1" l="1"/>
  <c r="E68" i="1"/>
  <c r="F68" i="1"/>
  <c r="G68" i="1"/>
  <c r="C68" i="1"/>
  <c r="D67" i="1"/>
  <c r="E67" i="1"/>
  <c r="F67" i="1"/>
  <c r="G67" i="1"/>
  <c r="C67" i="1"/>
  <c r="D66" i="1"/>
  <c r="E66" i="1"/>
  <c r="F66" i="1"/>
  <c r="G66" i="1"/>
  <c r="C66" i="1"/>
  <c r="D65" i="1"/>
  <c r="E65" i="1"/>
  <c r="F65" i="1"/>
  <c r="G65" i="1"/>
  <c r="C65" i="1"/>
  <c r="D64" i="1"/>
  <c r="E64" i="1"/>
  <c r="F64" i="1"/>
  <c r="G64" i="1"/>
  <c r="C64" i="1"/>
  <c r="D63" i="1"/>
  <c r="E63" i="1"/>
  <c r="F63" i="1"/>
  <c r="G63" i="1"/>
  <c r="C63" i="1"/>
  <c r="D62" i="1"/>
  <c r="E62" i="1"/>
  <c r="F62" i="1"/>
  <c r="G62" i="1"/>
  <c r="C62" i="1"/>
  <c r="D60" i="1"/>
  <c r="E60" i="1"/>
  <c r="F60" i="1"/>
  <c r="G60" i="1"/>
  <c r="C60" i="1"/>
  <c r="D59" i="1"/>
  <c r="E59" i="1"/>
  <c r="F59" i="1"/>
  <c r="G59" i="1"/>
  <c r="C59" i="1"/>
  <c r="D58" i="1"/>
  <c r="E58" i="1"/>
  <c r="F58" i="1"/>
  <c r="G58" i="1"/>
  <c r="C58" i="1"/>
  <c r="D57" i="1"/>
  <c r="E57" i="1"/>
  <c r="F57" i="1"/>
  <c r="G57" i="1"/>
  <c r="C57" i="1"/>
  <c r="D50" i="1"/>
  <c r="E50" i="1"/>
  <c r="F50" i="1"/>
  <c r="G50" i="1"/>
  <c r="C50" i="1"/>
  <c r="D46" i="1"/>
  <c r="D47" i="1" s="1"/>
  <c r="E46" i="1"/>
  <c r="E47" i="1" s="1"/>
  <c r="F46" i="1"/>
  <c r="F47" i="1" s="1"/>
  <c r="G46" i="1"/>
  <c r="G47" i="1" s="1"/>
  <c r="C46" i="1"/>
  <c r="C47" i="1" s="1"/>
  <c r="D45" i="1"/>
  <c r="E45" i="1"/>
  <c r="F45" i="1"/>
  <c r="G45" i="1"/>
  <c r="C45" i="1"/>
  <c r="D41" i="1"/>
  <c r="E41" i="1"/>
  <c r="F41" i="1"/>
  <c r="G41" i="1"/>
  <c r="C41" i="1"/>
  <c r="D37" i="1"/>
  <c r="D38" i="1" s="1"/>
  <c r="E37" i="1"/>
  <c r="F37" i="1"/>
  <c r="G37" i="1"/>
  <c r="C37" i="1"/>
  <c r="D33" i="1"/>
  <c r="E33" i="1"/>
  <c r="F33" i="1"/>
  <c r="G33" i="1"/>
  <c r="C33" i="1"/>
  <c r="D31" i="1"/>
  <c r="E31" i="1"/>
  <c r="F31" i="1"/>
  <c r="G31" i="1"/>
  <c r="C31" i="1"/>
  <c r="C76" i="1"/>
  <c r="C78" i="1" s="1"/>
  <c r="D78" i="1" s="1"/>
  <c r="E78" i="1" s="1"/>
  <c r="F78" i="1" s="1"/>
  <c r="G78" i="1" s="1"/>
  <c r="D75" i="1"/>
  <c r="C56" i="1"/>
  <c r="D30" i="1"/>
  <c r="E30" i="1" s="1"/>
  <c r="F30" i="1" s="1"/>
  <c r="G30" i="1" s="1"/>
  <c r="G56" i="1" s="1"/>
  <c r="C25" i="1"/>
  <c r="C108" i="1" s="1"/>
  <c r="C110" i="1" s="1"/>
  <c r="C111" i="1" s="1"/>
  <c r="K88" i="2"/>
  <c r="J88" i="2"/>
  <c r="I88" i="2"/>
  <c r="K87" i="2"/>
  <c r="J87" i="2"/>
  <c r="K86" i="2"/>
  <c r="J86" i="2"/>
  <c r="I86" i="2"/>
  <c r="I87" i="2" s="1"/>
  <c r="C35" i="2"/>
  <c r="E1" i="2"/>
  <c r="D124" i="1" l="1"/>
  <c r="G124" i="1"/>
  <c r="H124" i="1" s="1"/>
  <c r="E124" i="1"/>
  <c r="C124" i="1"/>
  <c r="F124" i="1"/>
  <c r="D42" i="1"/>
  <c r="G42" i="1"/>
  <c r="C42" i="1"/>
  <c r="E35" i="1"/>
  <c r="E39" i="1" s="1"/>
  <c r="F38" i="1"/>
  <c r="D34" i="1"/>
  <c r="F42" i="1"/>
  <c r="E32" i="1"/>
  <c r="F61" i="1"/>
  <c r="E69" i="1"/>
  <c r="E56" i="1"/>
  <c r="F32" i="1"/>
  <c r="E61" i="1"/>
  <c r="D76" i="1"/>
  <c r="E76" i="1" s="1"/>
  <c r="F76" i="1" s="1"/>
  <c r="G76" i="1" s="1"/>
  <c r="E34" i="1"/>
  <c r="F56" i="1"/>
  <c r="G32" i="1"/>
  <c r="F35" i="1"/>
  <c r="F36" i="1" s="1"/>
  <c r="D61" i="1"/>
  <c r="D56" i="1"/>
  <c r="C77" i="1"/>
  <c r="D77" i="1" s="1"/>
  <c r="E77" i="1" s="1"/>
  <c r="F77" i="1" s="1"/>
  <c r="G77" i="1" s="1"/>
  <c r="D69" i="1"/>
  <c r="J89" i="2"/>
  <c r="I89" i="2"/>
  <c r="K89" i="2"/>
  <c r="C69" i="1"/>
  <c r="F69" i="1"/>
  <c r="G69" i="1"/>
  <c r="C61" i="1"/>
  <c r="G61" i="1"/>
  <c r="F34" i="1"/>
  <c r="G38" i="1"/>
  <c r="G34" i="1"/>
  <c r="C35" i="1"/>
  <c r="C39" i="1" s="1"/>
  <c r="C34" i="1"/>
  <c r="C38" i="1"/>
  <c r="D32" i="1"/>
  <c r="C73" i="1" a="1"/>
  <c r="G35" i="1"/>
  <c r="D35" i="1"/>
  <c r="E38" i="1"/>
  <c r="E42" i="1"/>
  <c r="E36" i="1" l="1"/>
  <c r="F39" i="1"/>
  <c r="F43" i="1" s="1"/>
  <c r="C36" i="1"/>
  <c r="F73" i="1"/>
  <c r="E73" i="1"/>
  <c r="D73" i="1"/>
  <c r="G73" i="1"/>
  <c r="C73" i="1"/>
  <c r="C74" i="1" s="1"/>
  <c r="D36" i="1"/>
  <c r="D39" i="1"/>
  <c r="G36" i="1"/>
  <c r="G39" i="1"/>
  <c r="C40" i="1"/>
  <c r="C43" i="1"/>
  <c r="E43" i="1"/>
  <c r="E40" i="1"/>
  <c r="F40" i="1" l="1"/>
  <c r="D74" i="1"/>
  <c r="C82" i="1"/>
  <c r="C48" i="1"/>
  <c r="C44" i="1"/>
  <c r="G40" i="1"/>
  <c r="C83" i="1" s="1"/>
  <c r="D83" i="1" s="1"/>
  <c r="E83" i="1" s="1"/>
  <c r="F83" i="1" s="1"/>
  <c r="G83" i="1" s="1"/>
  <c r="G43" i="1"/>
  <c r="D40" i="1"/>
  <c r="D43" i="1"/>
  <c r="E44" i="1"/>
  <c r="E48" i="1"/>
  <c r="F48" i="1"/>
  <c r="F44" i="1"/>
  <c r="C85" i="1" l="1"/>
  <c r="C89" i="1" s="1"/>
  <c r="C84" i="1"/>
  <c r="D82" i="1"/>
  <c r="E74" i="1"/>
  <c r="E52" i="1"/>
  <c r="E53" i="1" s="1"/>
  <c r="E49" i="1"/>
  <c r="E51" i="1"/>
  <c r="G48" i="1"/>
  <c r="G44" i="1"/>
  <c r="D48" i="1"/>
  <c r="D44" i="1"/>
  <c r="F49" i="1"/>
  <c r="F51" i="1"/>
  <c r="F52" i="1"/>
  <c r="F53" i="1" s="1"/>
  <c r="C49" i="1"/>
  <c r="C52" i="1"/>
  <c r="C53" i="1" s="1"/>
  <c r="C51" i="1"/>
  <c r="C86" i="1" l="1"/>
  <c r="C87" i="1" s="1"/>
  <c r="E82" i="1"/>
  <c r="F74" i="1"/>
  <c r="D85" i="1"/>
  <c r="D89" i="1" s="1"/>
  <c r="D84" i="1"/>
  <c r="G49" i="1"/>
  <c r="G52" i="1"/>
  <c r="G53" i="1" s="1"/>
  <c r="G51" i="1"/>
  <c r="D52" i="1"/>
  <c r="D53" i="1" s="1"/>
  <c r="D49" i="1"/>
  <c r="D51" i="1"/>
  <c r="C88" i="1" l="1"/>
  <c r="C90" i="1" s="1"/>
  <c r="C91" i="1" s="1"/>
  <c r="C123" i="1" s="1"/>
  <c r="C125" i="1" s="1"/>
  <c r="D86" i="1"/>
  <c r="D87" i="1" s="1"/>
  <c r="F82" i="1"/>
  <c r="G74" i="1"/>
  <c r="G82" i="1" s="1"/>
  <c r="E85" i="1"/>
  <c r="E89" i="1" s="1"/>
  <c r="E84" i="1"/>
  <c r="D88" i="1" l="1"/>
  <c r="E86" i="1"/>
  <c r="E87" i="1" s="1"/>
  <c r="G85" i="1"/>
  <c r="G89" i="1" s="1"/>
  <c r="G84" i="1"/>
  <c r="F84" i="1"/>
  <c r="F85" i="1"/>
  <c r="F89" i="1" s="1"/>
  <c r="D90" i="1" l="1"/>
  <c r="D91" i="1" s="1"/>
  <c r="D123" i="1" s="1"/>
  <c r="D125" i="1" s="1"/>
  <c r="E88" i="1"/>
  <c r="E90" i="1" s="1"/>
  <c r="E91" i="1" s="1"/>
  <c r="E123" i="1" s="1"/>
  <c r="E125" i="1" s="1"/>
  <c r="G86" i="1"/>
  <c r="G87" i="1" s="1"/>
  <c r="F86" i="1"/>
  <c r="F87" i="1" s="1"/>
  <c r="G88" i="1" l="1"/>
  <c r="G90" i="1"/>
  <c r="G91" i="1" s="1"/>
  <c r="F88" i="1"/>
  <c r="G123" i="1" l="1"/>
  <c r="G125" i="1" s="1"/>
  <c r="C115" i="1"/>
  <c r="C118" i="1" s="1"/>
  <c r="H123" i="1" s="1"/>
  <c r="H125" i="1" s="1"/>
  <c r="B136" i="1" s="1"/>
  <c r="F90" i="1"/>
  <c r="F91" i="1" s="1"/>
  <c r="F123" i="1" s="1"/>
  <c r="F125" i="1" s="1"/>
  <c r="B131" i="1" l="1"/>
  <c r="B141" i="1" s="1"/>
  <c r="C143" i="1" s="1"/>
  <c r="C146" i="1" s="1"/>
  <c r="C148" i="1" s="1"/>
  <c r="B154" i="1" l="1"/>
  <c r="C150" i="1"/>
</calcChain>
</file>

<file path=xl/sharedStrings.xml><?xml version="1.0" encoding="utf-8"?>
<sst xmlns="http://schemas.openxmlformats.org/spreadsheetml/2006/main" count="319" uniqueCount="227">
  <si>
    <t>Company Overview</t>
  </si>
  <si>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</si>
  <si>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</si>
  <si>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</si>
  <si>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</si>
  <si>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</si>
  <si>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</si>
  <si>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</si>
  <si>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</si>
  <si>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</si>
  <si>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</si>
  <si>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</si>
  <si>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</si>
  <si>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</si>
  <si>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</si>
  <si>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</si>
  <si>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</si>
  <si>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</si>
  <si>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</si>
  <si>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</si>
  <si>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</si>
  <si>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</si>
  <si>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</si>
  <si>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</si>
  <si>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</si>
  <si>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</si>
  <si>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</si>
  <si>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</si>
  <si>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</si>
  <si>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</si>
  <si>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</si>
  <si>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</si>
  <si>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</si>
  <si>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</si>
  <si>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</si>
  <si>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</si>
  <si>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</si>
  <si>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</si>
  <si>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</si>
  <si>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</si>
  <si>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</si>
  <si>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</si>
  <si>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</si>
  <si>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</si>
  <si>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</si>
  <si>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</si>
  <si>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</si>
  <si>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</si>
  <si>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</si>
  <si>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</si>
  <si>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</si>
  <si>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NOPAT</t>
  </si>
  <si>
    <t>PRICE:</t>
  </si>
  <si>
    <t>DERIVED:</t>
  </si>
  <si>
    <t>Adjusted Equity Shares in Cr</t>
  </si>
  <si>
    <r>
      <rPr>
        <b/>
        <sz val="14"/>
        <color rgb="FF000000"/>
        <rFont val="Arial Nova"/>
        <family val="2"/>
      </rPr>
      <t xml:space="preserve">Zudio </t>
    </r>
    <r>
      <rPr>
        <sz val="14"/>
        <color rgb="FF000000"/>
        <rFont val="Arial Nova"/>
        <family val="2"/>
      </rPr>
      <t>- Value fashion retail chain (766 stores)</t>
    </r>
  </si>
  <si>
    <r>
      <t xml:space="preserve">Trent Limited </t>
    </r>
    <r>
      <rPr>
        <sz val="14"/>
        <color rgb="FF000000"/>
        <rFont val="Arial Nova"/>
        <family val="2"/>
      </rPr>
      <t>is the retail arm of the Tata Group, operating multiple retail formats including:</t>
    </r>
  </si>
  <si>
    <r>
      <rPr>
        <b/>
        <sz val="14"/>
        <color rgb="FF000000"/>
        <rFont val="Arial Nova"/>
        <family val="2"/>
      </rPr>
      <t xml:space="preserve">Westside </t>
    </r>
    <r>
      <rPr>
        <sz val="14"/>
        <color rgb="FF000000"/>
        <rFont val="Arial Nova"/>
        <family val="2"/>
      </rPr>
      <t>- Department store chain (248 stores)</t>
    </r>
  </si>
  <si>
    <r>
      <rPr>
        <b/>
        <sz val="14"/>
        <color rgb="FF000000"/>
        <rFont val="Arial Nova"/>
        <family val="2"/>
      </rPr>
      <t xml:space="preserve">Star Market </t>
    </r>
    <r>
      <rPr>
        <sz val="14"/>
        <color rgb="FF000000"/>
        <rFont val="Arial Nova"/>
        <family val="2"/>
      </rPr>
      <t>- Hypermarket format (78 stores)</t>
    </r>
  </si>
  <si>
    <t>Total Sore Count: 1000+ stores across 240+ cities | Retail Area: ~ 13.6 million sq ft</t>
  </si>
  <si>
    <t>Key Assumptions &amp; Methodology</t>
  </si>
  <si>
    <t>Parameter</t>
  </si>
  <si>
    <t>Value</t>
  </si>
  <si>
    <t>Rationale</t>
  </si>
  <si>
    <t>Valuation Date</t>
  </si>
  <si>
    <t>Projection Period</t>
  </si>
  <si>
    <t>Revenue Growth%</t>
  </si>
  <si>
    <t>Based on management guidance</t>
  </si>
  <si>
    <t>Annual Growth Tapering</t>
  </si>
  <si>
    <t>Terminal Growth Rate</t>
  </si>
  <si>
    <t>Conoservative long-term growth considering India's GDP and retail sector potential</t>
  </si>
  <si>
    <t>Risk-Free Rate (Rf)</t>
  </si>
  <si>
    <t>10-year Indian Government Bond yield</t>
  </si>
  <si>
    <t>Equity Risk Premium (ERP)</t>
  </si>
  <si>
    <t>Expected return over risk-free rate for equity investors</t>
  </si>
  <si>
    <t>Tax Rate</t>
  </si>
  <si>
    <t>Effective tax rate based on historical data</t>
  </si>
  <si>
    <t>Financial Performance (₹ Crores)</t>
  </si>
  <si>
    <t>INCOME STATEMENT</t>
  </si>
  <si>
    <t>Particulars</t>
  </si>
  <si>
    <t>% growth</t>
  </si>
  <si>
    <t>Cost of Goods Sold</t>
  </si>
  <si>
    <t>% of revenue</t>
  </si>
  <si>
    <t>Gross Profit</t>
  </si>
  <si>
    <t>% margin</t>
  </si>
  <si>
    <t>Operating Expenses</t>
  </si>
  <si>
    <t>EBITDA</t>
  </si>
  <si>
    <t>% of sales</t>
  </si>
  <si>
    <t>EBIT</t>
  </si>
  <si>
    <t>% of debt</t>
  </si>
  <si>
    <t>% of PBT</t>
  </si>
  <si>
    <t>Revenue Projections &amp; Growth Assumptions</t>
  </si>
  <si>
    <t>Year</t>
  </si>
  <si>
    <t>FY26E</t>
  </si>
  <si>
    <t>FY27E</t>
  </si>
  <si>
    <t>FY28E</t>
  </si>
  <si>
    <t>FY29E</t>
  </si>
  <si>
    <t>FY30E</t>
  </si>
  <si>
    <t>Revenue Growth %</t>
  </si>
  <si>
    <t>Revenue (in Crs.)</t>
  </si>
  <si>
    <t>Chosen Scenario:</t>
  </si>
  <si>
    <t>Base Case</t>
  </si>
  <si>
    <t>Best Case</t>
  </si>
  <si>
    <t>Worst Case</t>
  </si>
  <si>
    <t>Free Cash Flow Projections (₹ Crores)</t>
  </si>
  <si>
    <t>Revenue</t>
  </si>
  <si>
    <t>EBITDA Margin %</t>
  </si>
  <si>
    <t>Less: Depreciation</t>
  </si>
  <si>
    <t>Less: Tax</t>
  </si>
  <si>
    <t>Add: Depreciation</t>
  </si>
  <si>
    <t>Less: Reinvestment</t>
  </si>
  <si>
    <t>Free Cash Flow to Firm</t>
  </si>
  <si>
    <t>Financial Modelling</t>
  </si>
  <si>
    <t>COMPARABLE COMPANY ANALYSIS</t>
  </si>
  <si>
    <t>WACC Calculation</t>
  </si>
  <si>
    <t>Target Capital Structure</t>
  </si>
  <si>
    <t>Proportion of Debt</t>
  </si>
  <si>
    <t>Proportion of Equity</t>
  </si>
  <si>
    <t>Current Capital Structure</t>
  </si>
  <si>
    <t>Market Cap</t>
  </si>
  <si>
    <t>Total Debt</t>
  </si>
  <si>
    <t>Debt / Equity</t>
  </si>
  <si>
    <t>Cost of Debt</t>
  </si>
  <si>
    <t>Pre-Tax Cost of Debt</t>
  </si>
  <si>
    <t>After-Tax Cost of Debt</t>
  </si>
  <si>
    <t>Cost of Equity</t>
  </si>
  <si>
    <t>Risk Free Rate</t>
  </si>
  <si>
    <t>Equity Risk Premium</t>
  </si>
  <si>
    <t>Levered Equity Beta</t>
  </si>
  <si>
    <t>WACC</t>
  </si>
  <si>
    <t>Terminal Value Calculation</t>
  </si>
  <si>
    <t>Terminal Year FCF (FY30)</t>
  </si>
  <si>
    <t>Terminal Growth Rate (g)</t>
  </si>
  <si>
    <t>Terminal Value = FCF × (1+g) / (WACC - g)</t>
  </si>
  <si>
    <t>Terminal Value</t>
  </si>
  <si>
    <t>Present Value Calculation</t>
  </si>
  <si>
    <t>FCF (₹ Cr)</t>
  </si>
  <si>
    <t>Discount Factor</t>
  </si>
  <si>
    <t>PV of FCF (₹ Cr)</t>
  </si>
  <si>
    <t>DCF Valuation Summary</t>
  </si>
  <si>
    <t>Sum of PV of FCF (FY26-30)</t>
  </si>
  <si>
    <t>PV of Terminal Value</t>
  </si>
  <si>
    <t>Enterprise Value</t>
  </si>
  <si>
    <t>Less: Net Debt</t>
  </si>
  <si>
    <t>Add: Cash &amp; Investments</t>
  </si>
  <si>
    <t>Equity Value</t>
  </si>
  <si>
    <t>Shares Outstanding</t>
  </si>
  <si>
    <t>Fair Value per Share</t>
  </si>
  <si>
    <t>Current Market Price</t>
  </si>
  <si>
    <t>Upside/Downside</t>
  </si>
  <si>
    <t>Sensitivity Analysis</t>
  </si>
  <si>
    <t>Terminal Growth / WACC</t>
  </si>
  <si>
    <t>Key Risks &amp; Considerations</t>
  </si>
  <si>
    <t>Upside Risks:</t>
  </si>
  <si>
    <r>
      <t>Faster Store Expansion:</t>
    </r>
    <r>
      <rPr>
        <sz val="12"/>
        <color rgb="FF000000"/>
        <rFont val="Arial Nova"/>
        <family val="2"/>
      </rPr>
      <t> Company may exceed planned store additions, especially for Zudio format</t>
    </r>
  </si>
  <si>
    <r>
      <t>Market Share Gains:</t>
    </r>
    <r>
      <rPr>
        <sz val="12"/>
        <color rgb="FF000000"/>
        <rFont val="Arial Nova"/>
        <family val="2"/>
      </rPr>
      <t> Continued market share gains from unorganized retail</t>
    </r>
  </si>
  <si>
    <r>
      <t>Margin Expansion:</t>
    </r>
    <r>
      <rPr>
        <sz val="12"/>
        <color rgb="FF000000"/>
        <rFont val="Arial Nova"/>
        <family val="2"/>
      </rPr>
      <t> Higher private label penetration could drive margins beyond projections</t>
    </r>
  </si>
  <si>
    <r>
      <t>Digital Growth:</t>
    </r>
    <r>
      <rPr>
        <sz val="12"/>
        <color rgb="FF000000"/>
        <rFont val="Arial Nova"/>
        <family val="2"/>
      </rPr>
      <t> Omnichannel integration could accelerate revenue growth</t>
    </r>
  </si>
  <si>
    <t>Downside Risks:</t>
  </si>
  <si>
    <r>
      <t>Competition:</t>
    </r>
    <r>
      <rPr>
        <sz val="12"/>
        <color rgb="FF000000"/>
        <rFont val="Arial Nova"/>
        <family val="2"/>
      </rPr>
      <t> Intensifying competition from global fast fashion brands and e-commerce</t>
    </r>
  </si>
  <si>
    <r>
      <t>Execution Risk:</t>
    </r>
    <r>
      <rPr>
        <sz val="12"/>
        <color rgb="FF000000"/>
        <rFont val="Arial Nova"/>
        <family val="2"/>
      </rPr>
      <t> Challenges in maintaining quality and brand positioning during rapid expansion</t>
    </r>
  </si>
  <si>
    <r>
      <t>Economic Slowdown:</t>
    </r>
    <r>
      <rPr>
        <sz val="12"/>
        <color rgb="FF000000"/>
        <rFont val="Arial Nova"/>
        <family val="2"/>
      </rPr>
      <t> Consumer discretionary spending could be impacted by economic headwinds</t>
    </r>
  </si>
  <si>
    <r>
      <t>Real Estate Costs:</t>
    </r>
    <r>
      <rPr>
        <sz val="12"/>
        <color rgb="FF000000"/>
        <rFont val="Arial Nova"/>
        <family val="2"/>
      </rPr>
      <t> Rising rental costs in prime locations could pressure margins</t>
    </r>
  </si>
  <si>
    <r>
      <t>Inventory Management:</t>
    </r>
    <r>
      <rPr>
        <sz val="12"/>
        <color rgb="FF000000"/>
        <rFont val="Arial Nova"/>
        <family val="2"/>
      </rPr>
      <t> Working capital requirements may increase with scale</t>
    </r>
  </si>
  <si>
    <t>Conclusion &amp; Recommendation</t>
  </si>
  <si>
    <r>
      <t xml:space="preserve">Based on our DCF Analysis, </t>
    </r>
    <r>
      <rPr>
        <b/>
        <sz val="12"/>
        <color rgb="FF000000"/>
        <rFont val="Arial Nova"/>
        <family val="2"/>
      </rPr>
      <t>Trent Ltd's</t>
    </r>
    <r>
      <rPr>
        <sz val="12"/>
        <color rgb="FF000000"/>
        <rFont val="Arial Nova"/>
        <family val="2"/>
      </rPr>
      <t xml:space="preserve"> intrinsic value is estimated at </t>
    </r>
    <r>
      <rPr>
        <b/>
        <sz val="12"/>
        <color rgb="FF000000"/>
        <rFont val="Arial Nova"/>
        <family val="2"/>
      </rPr>
      <t>Rs.1,754 per share</t>
    </r>
    <r>
      <rPr>
        <sz val="12"/>
        <color rgb="FF000000"/>
        <rFont val="Arial Nova"/>
        <family val="2"/>
      </rPr>
      <t xml:space="preserve">, compared to the </t>
    </r>
    <r>
      <rPr>
        <b/>
        <sz val="12"/>
        <color rgb="FF000000"/>
        <rFont val="Arial Nova"/>
        <family val="2"/>
      </rPr>
      <t>market price of Rs 4,770 per share</t>
    </r>
    <r>
      <rPr>
        <sz val="12"/>
        <color rgb="FF000000"/>
        <rFont val="Arial Nova"/>
        <family val="2"/>
      </rPr>
      <t xml:space="preserve">, suggesting that the stock is trading at a </t>
    </r>
    <r>
      <rPr>
        <b/>
        <sz val="12"/>
        <color rgb="FF000000"/>
        <rFont val="Arial Nova"/>
        <family val="2"/>
      </rPr>
      <t>significant premium of 172%</t>
    </r>
    <r>
      <rPr>
        <sz val="12"/>
        <color rgb="FF000000"/>
        <rFont val="Arial Nova"/>
        <family val="2"/>
      </rPr>
      <t xml:space="preserve"> to its fair value.</t>
    </r>
  </si>
  <si>
    <t>Key findings:</t>
  </si>
  <si>
    <t>The company has demonstrated exceptional growth with revenue CAGR of ~60% over FY21-25.</t>
  </si>
  <si>
    <t>Healthy EBITDA margins with margins expanding from 4% to 16.5%.</t>
  </si>
  <si>
    <t>However, current valuation apprears stretched with PE of ~102x of trailing earnings.</t>
  </si>
  <si>
    <t>Comps Data</t>
  </si>
  <si>
    <t>Company</t>
  </si>
  <si>
    <t>Ticker</t>
  </si>
  <si>
    <t>Price</t>
  </si>
  <si>
    <t>Net Income</t>
  </si>
  <si>
    <t>Beta</t>
  </si>
  <si>
    <t>Cash &amp; Cash Equivalents</t>
  </si>
  <si>
    <t>EV/EBITDA</t>
  </si>
  <si>
    <t>P/E</t>
  </si>
  <si>
    <t>Trent Limited</t>
  </si>
  <si>
    <t>TRENT</t>
  </si>
  <si>
    <t>Avenue Supermarts (DMART)</t>
  </si>
  <si>
    <t>DMART</t>
  </si>
  <si>
    <t>Vishal Mega Mart</t>
  </si>
  <si>
    <t>VMM</t>
  </si>
  <si>
    <t>Aditya Birla Lifestyle Brands</t>
  </si>
  <si>
    <t>ABLBL</t>
  </si>
  <si>
    <t>Vedant Fashions (Manyavar)</t>
  </si>
  <si>
    <t>MANYAVAR</t>
  </si>
  <si>
    <t>Industry Beta</t>
  </si>
  <si>
    <t>Equity</t>
  </si>
  <si>
    <t xml:space="preserve">Total </t>
  </si>
  <si>
    <t>Debt/</t>
  </si>
  <si>
    <t>Levered</t>
  </si>
  <si>
    <t>Unlevered</t>
  </si>
  <si>
    <t>Company Name</t>
  </si>
  <si>
    <t>Debt</t>
  </si>
  <si>
    <t>Capital</t>
  </si>
  <si>
    <t>Rate %</t>
  </si>
  <si>
    <t>Average</t>
  </si>
  <si>
    <t>Median</t>
  </si>
  <si>
    <t>Comparable Companies Analysis</t>
  </si>
  <si>
    <t>Market Data</t>
  </si>
  <si>
    <t>Financial Data</t>
  </si>
  <si>
    <t>Valuation</t>
  </si>
  <si>
    <t>Shares</t>
  </si>
  <si>
    <t>Cash</t>
  </si>
  <si>
    <t>EV</t>
  </si>
  <si>
    <t>Earnings</t>
  </si>
  <si>
    <t>EV/Sales</t>
  </si>
  <si>
    <r>
      <t>(</t>
    </r>
    <r>
      <rPr>
        <sz val="12"/>
        <color theme="0"/>
        <rFont val="Calibri"/>
        <family val="2"/>
      </rPr>
      <t>₹</t>
    </r>
    <r>
      <rPr>
        <i/>
        <sz val="10.8"/>
        <color theme="0"/>
        <rFont val="Book Antiqua"/>
        <family val="1"/>
      </rPr>
      <t>/share)</t>
    </r>
  </si>
  <si>
    <t>Crs</t>
  </si>
  <si>
    <t>₹ Crs</t>
  </si>
  <si>
    <t>&amp; Equivalents</t>
  </si>
  <si>
    <t>x</t>
  </si>
  <si>
    <t>Metric</t>
  </si>
  <si>
    <t>Comps</t>
  </si>
  <si>
    <t>Net Debt</t>
  </si>
  <si>
    <t>Share Price</t>
  </si>
  <si>
    <t>PE Ratio</t>
  </si>
  <si>
    <t xml:space="preserve">Financial Modelling </t>
  </si>
  <si>
    <r>
      <t xml:space="preserve">Investment Recommendation: </t>
    </r>
    <r>
      <rPr>
        <b/>
        <sz val="12"/>
        <color rgb="FFFFC000"/>
        <rFont val="Arial Nova"/>
        <family val="2"/>
      </rPr>
      <t>HOLD/REDUCE</t>
    </r>
  </si>
  <si>
    <t>While Trent remains a high-quality retail franchise with strong growth prospects, the current valuation leaves limited margin of sfety for investors. The stock appears to be pricing in perfect execution over the next 5-7 years. Investors may consider:</t>
  </si>
  <si>
    <t xml:space="preserve"> - Existing shareholders may hold with trailing stop-losses.</t>
  </si>
  <si>
    <t>- New investors should wait for better entry points.</t>
  </si>
  <si>
    <t>- Consider partial proft booking if holding significant positions.</t>
  </si>
  <si>
    <r>
      <t>Disclaimer:</t>
    </r>
    <r>
      <rPr>
        <i/>
        <sz val="8"/>
        <color rgb="FF666666"/>
        <rFont val="Arial Nova"/>
        <family val="2"/>
      </rPr>
      <t> This DCF model is prepared for educational and analytical purposes only. The projections and assumptions are based on publicly available information and analyst estimates. Actual results may vary significantly from projections. This should not be considered as investment advice. Investors should conduct their own due diligence and consult with financial advisors before making investment decisions.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</si>
</sst>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5" formatCode="&quot;$&quot;#,##0_);\(&quot;$&quot;#,##0\)"/>
    <numFmt numFmtId="43" formatCode="_(* #,##0.00_);_(* \(#,##0.00\);_(* &quot;-&quot;??_);_(@_)"/>
    <numFmt numFmtId="164" formatCode="_ * #,##0.00_ ;_ * \-#,##0.00_ ;_ * &quot;-&quot;??_ ;_ @_ "/>
    <numFmt numFmtId="165" formatCode="[$-409]mmm\-yy;@"/>
    <numFmt numFmtId="166" formatCode="0\A"/>
    <numFmt numFmtId="167" formatCode="#,##0.0"/>
    <numFmt numFmtId="168" formatCode="0.0%"/>
    <numFmt numFmtId="169" formatCode=";;;"/>
    <numFmt numFmtId="170" formatCode="_-* #,##0_-;\(#,##0\)_-;_-* &quot;-&quot;_-;_-@_-"/>
    <numFmt numFmtId="171" formatCode="_(* #,##0_);_(* \(#,##0\);_(* &quot;-&quot;??_);_(@_)"/>
    <numFmt numFmtId="172" formatCode="&quot;₹&quot;\ #,##0;[Red]&quot;₹&quot;\ \-#,##0"/>
    <numFmt numFmtId="173" formatCode="[Green]0.0%;[Red]\-0.0%"/>
    <numFmt numFmtId="174" formatCode="&quot;₹&quot;#,##0_);[Red]\(&quot;₹&quot;#,##0\)"/>
    <numFmt numFmtId="175" formatCode="_-* #,##0_-;\-* #,##0_-;_-* &quot;-&quot;??_-;_-@_-"/>
    <numFmt numFmtId="176" formatCode="#\A"/>
    <numFmt numFmtId="177" formatCode="0.0\x"/>
    <numFmt numFmtId="178" formatCode="_-* #,##0.00_-;\-* #,##0.00_-;_-* &quot;-&quot;??_-;_-@_-"/>
  </numFmts>
  <fonts count="49">
    <font>
      <sz val="11"/>
      <color theme="1"/>
      <name val="calibari"/>
      <family val="2"/>
    </font>
    <font>
      <sz val="11"/>
      <color theme="1"/>
      <name val="Calibri"/>
      <family val="2"/>
      <scheme val="minor"/>
    </font>
    <font>
      <b/>
      <sz val="11"/>
      <color theme="1"/>
      <name val="Calibri"/>
      <family val="2"/>
      <scheme val="minor"/>
    </font>
    <font>
      <u/>
      <sz val="11"/>
      <color theme="10"/>
      <name val="Calibri"/>
      <family val="2"/>
    </font>
    <font>
      <sz val="11"/>
      <color theme="0"/>
      <name val="Calibri"/>
      <family val="2"/>
      <scheme val="minor"/>
    </font>
    <font>
      <b/>
      <sz val="11"/>
      <color theme="0"/>
      <name val="Calibri"/>
      <family val="2"/>
      <scheme val="minor"/>
    </font>
    <font>
      <sz val="11"/>
      <name val="Calibri"/>
      <family val="2"/>
      <scheme val="minor"/>
    </font>
    <font>
      <sz val="14"/>
      <color rgb="FF000000"/>
      <name val="Arial Nova"/>
      <family val="2"/>
    </font>
    <font>
      <b/>
      <sz val="14"/>
      <color rgb="FF000000"/>
      <name val="Arial Nova"/>
      <family val="2"/>
    </font>
    <font>
      <b/>
      <sz val="18"/>
      <color theme="0"/>
      <name val="Arial Nova"/>
      <family val="2"/>
    </font>
    <font>
      <sz val="14"/>
      <color theme="1"/>
      <name val="Calibri Light"/>
      <family val="2"/>
      <scheme val="major"/>
    </font>
    <font>
      <sz val="18"/>
      <color theme="1"/>
      <name val="Franklin Gothic Medium Cond"/>
      <family val="2"/>
    </font>
    <font>
      <sz val="11"/>
      <color theme="1"/>
      <name val="Arial Nova"/>
      <family val="2"/>
    </font>
    <font>
      <b/>
      <sz val="11"/>
      <color rgb="FFFFFFFF"/>
      <name val="Arial Nova"/>
      <family val="2"/>
    </font>
    <font>
      <b/>
      <sz val="11"/>
      <color theme="1"/>
      <name val="Arial Nova"/>
      <family val="2"/>
    </font>
    <font>
      <sz val="11"/>
      <name val="Arial Nova"/>
      <family val="2"/>
    </font>
    <font>
      <b/>
      <sz val="20"/>
      <color theme="4"/>
      <name val="Arial Nova"/>
      <family val="2"/>
    </font>
    <font>
      <b/>
      <sz val="12"/>
      <color theme="0"/>
      <name val="Calibri"/>
      <family val="2"/>
      <scheme val="minor"/>
    </font>
    <font>
      <i/>
      <sz val="11"/>
      <color theme="1"/>
      <name val="Arial Nova"/>
      <family val="2"/>
    </font>
    <font>
      <b/>
      <sz val="12"/>
      <color theme="0"/>
      <name val="Arial Nova"/>
      <family val="2"/>
    </font>
    <font>
      <b/>
      <sz val="16"/>
      <color theme="0"/>
      <name val="Arial Nova"/>
      <family val="2"/>
    </font>
    <font>
      <b/>
      <u/>
      <sz val="11"/>
      <color theme="1"/>
      <name val="Arial Nova"/>
      <family val="2"/>
    </font>
    <font>
      <sz val="11"/>
      <color rgb="FFFF0000"/>
      <name val="Arial Nova"/>
      <family val="2"/>
    </font>
    <font>
      <sz val="18"/>
      <color theme="3"/>
      <name val="Calibri Light"/>
      <family val="2"/>
      <scheme val="major"/>
    </font>
    <font>
      <sz val="11"/>
      <color theme="1"/>
      <name val="Arial Narrow"/>
      <family val="2"/>
    </font>
    <font>
      <sz val="12"/>
      <color theme="1"/>
      <name val="Book Antiqua"/>
      <family val="1"/>
    </font>
    <font>
      <sz val="10"/>
      <name val="Times New Roman"/>
      <family val="1"/>
    </font>
    <font>
      <sz val="12"/>
      <name val="Book Antiqua"/>
      <family val="1"/>
    </font>
    <font>
      <sz val="12"/>
      <color rgb="FF0000FF"/>
      <name val="Book Antiqua"/>
      <family val="1"/>
    </font>
    <font>
      <b/>
      <sz val="13.5"/>
      <color rgb="FF1A1A1A"/>
      <name val="Arial Nova"/>
      <family val="2"/>
    </font>
    <font>
      <sz val="16"/>
      <color rgb="FF000000"/>
      <name val="Arial Nova"/>
      <family val="2"/>
    </font>
    <font>
      <sz val="19"/>
      <color rgb="FF0066CC"/>
      <name val="Arial Nova"/>
      <family val="2"/>
    </font>
    <font>
      <b/>
      <sz val="14"/>
      <color theme="1"/>
      <name val="Arial Nova"/>
      <family val="2"/>
    </font>
    <font>
      <b/>
      <sz val="11"/>
      <name val="Arial Nova"/>
      <family val="2"/>
    </font>
    <font>
      <b/>
      <i/>
      <sz val="8"/>
      <color rgb="FF666666"/>
      <name val="Arial Nova"/>
      <family val="2"/>
    </font>
    <font>
      <i/>
      <sz val="8"/>
      <color rgb="FF666666"/>
      <name val="Arial Nova"/>
      <family val="2"/>
    </font>
    <font>
      <sz val="11"/>
      <color theme="0"/>
      <name val="Calibri Light"/>
      <family val="2"/>
      <scheme val="major"/>
    </font>
    <font>
      <sz val="10"/>
      <color theme="0"/>
      <name val="Calibri Light"/>
      <family val="2"/>
      <scheme val="major"/>
    </font>
    <font>
      <b/>
      <sz val="8"/>
      <color theme="0"/>
      <name val="Arial Nova"/>
      <family val="2"/>
    </font>
    <font>
      <sz val="12"/>
      <color theme="1"/>
      <name val="Arial Nova"/>
      <family val="2"/>
    </font>
    <font>
      <b/>
      <sz val="14"/>
      <color rgb="FFFFFFFF"/>
      <name val="Arial Nova"/>
      <family val="2"/>
    </font>
    <font>
      <sz val="12"/>
      <color theme="0"/>
      <name val="Calibri"/>
      <family val="2"/>
    </font>
    <font>
      <i/>
      <sz val="10.8"/>
      <color theme="0"/>
      <name val="Book Antiqua"/>
      <family val="1"/>
    </font>
    <font>
      <b/>
      <sz val="36"/>
      <color theme="4"/>
      <name val="Franklin Gothic Medium Cond"/>
      <family val="2"/>
    </font>
    <font>
      <sz val="12"/>
      <color rgb="FF000000"/>
      <name val="Arial Nova"/>
      <family val="2"/>
    </font>
    <font>
      <b/>
      <sz val="12"/>
      <color rgb="FF000000"/>
      <name val="Arial Nova"/>
      <family val="2"/>
    </font>
    <font>
      <b/>
      <sz val="12"/>
      <color rgb="FF1A1A1A"/>
      <name val="Arial Nova"/>
      <family val="2"/>
    </font>
    <font>
      <b/>
      <sz val="12"/>
      <color rgb="FFFFC000"/>
      <name val="Arial Nova"/>
      <family val="2"/>
    </font>
    <font>
      <b/>
      <u/>
      <sz val="12"/>
      <color rgb="FF1A1A1A"/>
      <name val="Arial Nova"/>
      <family val="2"/>
    </font>
  </fonts>
  <fills count="15">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4"/>
        <bgColor indexed="64"/>
      </patternFill>
    </fill>
    <fill>
      <patternFill patternType="solid">
        <fgColor theme="0" tint="-4.9989318521683403E-2"/>
        <bgColor theme="0"/>
      </patternFill>
    </fill>
    <fill>
      <patternFill patternType="solid">
        <fgColor rgb="FFF9F9F9"/>
        <bgColor indexed="64"/>
      </patternFill>
    </fill>
    <fill>
      <patternFill patternType="solid">
        <fgColor rgb="FF0066CC"/>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ACD"/>
        <bgColor indexed="64"/>
      </patternFill>
    </fill>
    <fill>
      <patternFill patternType="solid">
        <fgColor rgb="FFE8F4F8"/>
        <bgColor indexed="64"/>
      </patternFill>
    </fill>
    <fill>
      <patternFill patternType="solid">
        <fgColor rgb="FFD4EDDA"/>
        <bgColor indexed="64"/>
      </patternFill>
    </fill>
    <fill>
      <patternFill patternType="solid">
        <fgColor theme="3"/>
        <bgColor indexed="64"/>
      </patternFill>
    </fill>
    <fill>
      <patternFill patternType="solid">
        <fgColor theme="3"/>
        <bgColor theme="0"/>
      </patternFill>
    </fill>
  </fills>
  <borders count="13">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top/>
      <bottom style="medium">
        <color rgb="FFDDDDDD"/>
      </bottom>
      <diagonal/>
    </border>
    <border>
      <left/>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top/>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right style="medium">
        <color rgb="FFDDDDDD"/>
      </right>
      <top/>
      <bottom style="medium">
        <color rgb="FFDDDDDD"/>
      </bottom>
      <diagonal/>
    </border>
  </borders>
  <cellStyleXfs count="16">
    <xf numFmtId="0" fontId="0" fillId="0" borderId="0"/>
    <xf numFmtId="164" fontId="1" fillId="0" borderId="0" applyFont="0" applyFill="0" applyBorder="0" applyAlignment="0" applyProtection="0"/>
    <xf numFmtId="0" fontId="3" fillId="0" borderId="0" applyNumberFormat="0" applyFill="0" applyBorder="0" applyAlignment="0" applyProtection="0">
      <alignment vertical="top"/>
      <protection locked="0"/>
    </xf>
    <xf numFmtId="0" fontId="4" fillId="2" borderId="0" applyNumberFormat="0" applyBorder="0" applyAlignment="0" applyProtection="0"/>
    <xf numFmtId="0" fontId="1" fillId="0" borderId="0"/>
    <xf numFmtId="0" fontId="10" fillId="5" borderId="0">
      <alignment horizontal="left" vertical="top"/>
    </xf>
    <xf numFmtId="0" fontId="23" fillId="0" borderId="0" applyNumberFormat="0" applyFill="0" applyBorder="0" applyAlignment="0" applyProtection="0"/>
    <xf numFmtId="0" fontId="24" fillId="0" borderId="0"/>
    <xf numFmtId="0" fontId="26" fillId="0" borderId="0"/>
    <xf numFmtId="0" fontId="1" fillId="0" borderId="0"/>
    <xf numFmtId="9" fontId="24" fillId="0" borderId="0" applyFont="0" applyFill="0" applyBorder="0" applyAlignment="0" applyProtection="0"/>
    <xf numFmtId="43" fontId="24" fillId="0" borderId="0" applyFont="0" applyFill="0" applyBorder="0" applyAlignment="0" applyProtection="0"/>
    <xf numFmtId="0" fontId="36" fillId="13" borderId="0">
      <alignment horizontal="left" vertical="center"/>
    </xf>
    <xf numFmtId="0" fontId="37" fillId="14" borderId="0">
      <alignment horizontal="right" vertical="center"/>
    </xf>
    <xf numFmtId="178" fontId="1" fillId="0" borderId="0" applyFont="0" applyFill="0" applyBorder="0" applyAlignment="0" applyProtection="0"/>
    <xf numFmtId="43" fontId="24" fillId="0" borderId="0" applyFont="0" applyFill="0" applyBorder="0" applyAlignment="0" applyProtection="0"/>
  </cellStyleXfs>
  <cellXfs count="153">
    <xf numFmtId="0" fontId="0" fillId="0" borderId="0" xfId="0"/>
    <xf numFmtId="164" fontId="2" fillId="0" borderId="0" xfId="1" applyFont="1" applyBorder="1"/>
    <xf numFmtId="164" fontId="0" fillId="0" borderId="0" xfId="1" applyFont="1" applyBorder="1"/>
    <xf numFmtId="0" fontId="1" fillId="0" borderId="0" xfId="4"/>
    <xf numFmtId="165" fontId="5" fillId="3" borderId="0" xfId="1" applyNumberFormat="1" applyFont="1" applyFill="1" applyBorder="1"/>
    <xf numFmtId="165" fontId="5" fillId="3" borderId="0" xfId="4" applyNumberFormat="1" applyFont="1" applyFill="1" applyAlignment="1">
      <alignment horizontal="center"/>
    </xf>
    <xf numFmtId="165" fontId="6" fillId="0" borderId="0" xfId="1" applyNumberFormat="1" applyFont="1" applyFill="1" applyBorder="1"/>
    <xf numFmtId="164" fontId="1" fillId="0" borderId="0" xfId="1" applyFont="1" applyBorder="1"/>
    <xf numFmtId="43" fontId="0" fillId="0" borderId="0" xfId="1" applyNumberFormat="1" applyFont="1" applyBorder="1"/>
    <xf numFmtId="0" fontId="0" fillId="4" borderId="0" xfId="0" applyFill="1"/>
    <xf numFmtId="0" fontId="7" fillId="0" borderId="0" xfId="0" applyFont="1" applyAlignment="1">
      <alignment horizontal="left" vertical="center"/>
    </xf>
    <xf numFmtId="0" fontId="8" fillId="0" borderId="0" xfId="0" applyFont="1" applyAlignment="1">
      <alignment horizontal="left" vertical="center"/>
    </xf>
    <xf numFmtId="0" fontId="9" fillId="4" borderId="0" xfId="0" applyFont="1" applyFill="1" applyAlignment="1">
      <alignment horizontal="left" vertical="center"/>
    </xf>
    <xf numFmtId="0" fontId="11" fillId="0" borderId="0" xfId="5" applyFont="1" applyFill="1">
      <alignment horizontal="left" vertical="top"/>
    </xf>
    <xf numFmtId="0" fontId="12" fillId="6" borderId="0" xfId="0" applyFont="1" applyFill="1" applyAlignment="1">
      <alignment horizontal="left" vertical="center"/>
    </xf>
    <xf numFmtId="0" fontId="13" fillId="7" borderId="1" xfId="0" applyFont="1" applyFill="1" applyBorder="1" applyAlignment="1">
      <alignment horizontal="left" vertical="center"/>
    </xf>
    <xf numFmtId="0" fontId="13" fillId="7" borderId="2" xfId="0" applyFont="1" applyFill="1" applyBorder="1" applyAlignment="1">
      <alignment horizontal="right" vertical="center"/>
    </xf>
    <xf numFmtId="0" fontId="14" fillId="0" borderId="1" xfId="0" applyFont="1" applyBorder="1" applyAlignment="1">
      <alignment horizontal="left" vertical="center"/>
    </xf>
    <xf numFmtId="14" fontId="12" fillId="0" borderId="1" xfId="0" applyNumberFormat="1" applyFont="1" applyBorder="1" applyAlignment="1">
      <alignment horizontal="right" vertical="center"/>
    </xf>
    <xf numFmtId="0" fontId="12" fillId="0" borderId="1" xfId="0" applyFont="1" applyBorder="1" applyAlignment="1">
      <alignment horizontal="right" vertical="center"/>
    </xf>
    <xf numFmtId="9" fontId="15" fillId="0" borderId="1" xfId="0" applyNumberFormat="1" applyFont="1" applyBorder="1" applyAlignment="1">
      <alignment horizontal="right" vertical="center"/>
    </xf>
    <xf numFmtId="10" fontId="12" fillId="0" borderId="1" xfId="0" applyNumberFormat="1" applyFont="1" applyBorder="1" applyAlignment="1">
      <alignment horizontal="right" vertical="center"/>
    </xf>
    <xf numFmtId="0" fontId="12" fillId="4" borderId="0" xfId="0" applyFont="1" applyFill="1"/>
    <xf numFmtId="0" fontId="12" fillId="0" borderId="0" xfId="0" applyFont="1"/>
    <xf numFmtId="0" fontId="16" fillId="6" borderId="0" xfId="0" applyFont="1" applyFill="1" applyAlignment="1">
      <alignment horizontal="left" vertical="center"/>
    </xf>
    <xf numFmtId="165" fontId="17" fillId="3" borderId="0" xfId="1" applyNumberFormat="1" applyFont="1" applyFill="1" applyBorder="1"/>
    <xf numFmtId="166" fontId="17" fillId="3" borderId="0" xfId="0" applyNumberFormat="1" applyFont="1" applyFill="1" applyAlignment="1">
      <alignment horizontal="right"/>
    </xf>
    <xf numFmtId="167" fontId="12" fillId="0" borderId="1" xfId="0" applyNumberFormat="1" applyFont="1" applyBorder="1" applyAlignment="1">
      <alignment horizontal="right" vertical="center"/>
    </xf>
    <xf numFmtId="0" fontId="18" fillId="0" borderId="1" xfId="0" applyFont="1" applyBorder="1" applyAlignment="1">
      <alignment horizontal="left" vertical="center"/>
    </xf>
    <xf numFmtId="9" fontId="18" fillId="0" borderId="1" xfId="0" applyNumberFormat="1" applyFont="1" applyBorder="1" applyAlignment="1">
      <alignment horizontal="right" vertical="center"/>
    </xf>
    <xf numFmtId="0" fontId="14" fillId="8" borderId="1" xfId="0" applyFont="1" applyFill="1" applyBorder="1" applyAlignment="1">
      <alignment horizontal="left" vertical="center"/>
    </xf>
    <xf numFmtId="167" fontId="14" fillId="8" borderId="1" xfId="0" applyNumberFormat="1" applyFont="1" applyFill="1" applyBorder="1" applyAlignment="1">
      <alignment horizontal="right" vertical="center"/>
    </xf>
    <xf numFmtId="0" fontId="18" fillId="8" borderId="1" xfId="0" applyFont="1" applyFill="1" applyBorder="1" applyAlignment="1">
      <alignment horizontal="left" vertical="center"/>
    </xf>
    <xf numFmtId="168" fontId="18" fillId="8" borderId="1" xfId="0" applyNumberFormat="1" applyFont="1" applyFill="1" applyBorder="1" applyAlignment="1">
      <alignment horizontal="right" vertical="center"/>
    </xf>
    <xf numFmtId="166" fontId="19" fillId="3" borderId="0" xfId="0" applyNumberFormat="1" applyFont="1" applyFill="1" applyAlignment="1">
      <alignment horizontal="right"/>
    </xf>
    <xf numFmtId="164" fontId="12" fillId="0" borderId="0" xfId="1" applyFont="1" applyBorder="1"/>
    <xf numFmtId="0" fontId="12" fillId="0" borderId="0" xfId="0" applyFont="1" applyAlignment="1">
      <alignment horizontal="left" vertical="center"/>
    </xf>
    <xf numFmtId="0" fontId="20" fillId="4" borderId="0" xfId="0" applyFont="1" applyFill="1" applyAlignment="1">
      <alignment horizontal="left" vertical="center"/>
    </xf>
    <xf numFmtId="3" fontId="12" fillId="0" borderId="0" xfId="0" applyNumberFormat="1" applyFont="1"/>
    <xf numFmtId="0" fontId="13" fillId="7" borderId="1" xfId="0" applyFont="1" applyFill="1" applyBorder="1" applyAlignment="1">
      <alignment horizontal="right" vertical="center"/>
    </xf>
    <xf numFmtId="9" fontId="12" fillId="0" borderId="1" xfId="0" applyNumberFormat="1" applyFont="1" applyBorder="1" applyAlignment="1">
      <alignment horizontal="right" vertical="center"/>
    </xf>
    <xf numFmtId="3" fontId="12" fillId="0" borderId="1" xfId="0" applyNumberFormat="1" applyFont="1" applyBorder="1" applyAlignment="1">
      <alignment horizontal="right" vertical="center"/>
    </xf>
    <xf numFmtId="0" fontId="21" fillId="0" borderId="5" xfId="0" applyFont="1" applyBorder="1" applyAlignment="1">
      <alignment horizontal="left" vertical="center"/>
    </xf>
    <xf numFmtId="3" fontId="12" fillId="9" borderId="6" xfId="0" applyNumberFormat="1" applyFont="1" applyFill="1" applyBorder="1" applyAlignment="1">
      <alignment horizontal="right" vertical="center"/>
    </xf>
    <xf numFmtId="169" fontId="12" fillId="0" borderId="6" xfId="0" applyNumberFormat="1" applyFont="1" applyBorder="1" applyAlignment="1">
      <alignment horizontal="right" vertical="center"/>
    </xf>
    <xf numFmtId="3" fontId="12" fillId="0" borderId="6" xfId="0" applyNumberFormat="1" applyFont="1" applyBorder="1" applyAlignment="1">
      <alignment horizontal="right" vertical="center"/>
    </xf>
    <xf numFmtId="3" fontId="12" fillId="0" borderId="7" xfId="0" applyNumberFormat="1" applyFont="1" applyBorder="1" applyAlignment="1">
      <alignment horizontal="right" vertical="center"/>
    </xf>
    <xf numFmtId="0" fontId="18" fillId="0" borderId="5" xfId="0" applyFont="1" applyBorder="1" applyAlignment="1">
      <alignment horizontal="left" vertical="center" indent="2"/>
    </xf>
    <xf numFmtId="9" fontId="18" fillId="0" borderId="6" xfId="0" applyNumberFormat="1" applyFont="1" applyBorder="1" applyAlignment="1">
      <alignment vertical="center"/>
    </xf>
    <xf numFmtId="0" fontId="18" fillId="0" borderId="5" xfId="0" quotePrefix="1" applyFont="1" applyBorder="1" applyAlignment="1">
      <alignment horizontal="left" vertical="center" indent="2"/>
    </xf>
    <xf numFmtId="9" fontId="18" fillId="0" borderId="6" xfId="0" quotePrefix="1" applyNumberFormat="1" applyFont="1" applyBorder="1" applyAlignment="1">
      <alignment vertical="center"/>
    </xf>
    <xf numFmtId="170" fontId="12" fillId="0" borderId="1" xfId="0" applyNumberFormat="1" applyFont="1" applyBorder="1" applyAlignment="1">
      <alignment horizontal="right" vertical="center"/>
    </xf>
    <xf numFmtId="43" fontId="12" fillId="0" borderId="1" xfId="0" applyNumberFormat="1" applyFont="1" applyBorder="1" applyAlignment="1">
      <alignment horizontal="right" vertical="center"/>
    </xf>
    <xf numFmtId="171" fontId="22" fillId="0" borderId="1" xfId="0" applyNumberFormat="1" applyFont="1" applyBorder="1" applyAlignment="1">
      <alignment horizontal="right" vertical="center"/>
    </xf>
    <xf numFmtId="0" fontId="14" fillId="10" borderId="1" xfId="0" applyFont="1" applyFill="1" applyBorder="1" applyAlignment="1">
      <alignment horizontal="left" vertical="center"/>
    </xf>
    <xf numFmtId="170" fontId="14" fillId="10" borderId="1" xfId="0" applyNumberFormat="1" applyFont="1" applyFill="1" applyBorder="1" applyAlignment="1">
      <alignment horizontal="right" vertical="center"/>
    </xf>
    <xf numFmtId="0" fontId="12" fillId="0" borderId="5" xfId="0" applyFont="1" applyBorder="1" applyAlignment="1">
      <alignment horizontal="left" vertical="center"/>
    </xf>
    <xf numFmtId="0" fontId="12" fillId="0" borderId="6" xfId="0" applyFont="1" applyBorder="1" applyAlignment="1">
      <alignment horizontal="left" vertical="center"/>
    </xf>
    <xf numFmtId="0" fontId="12" fillId="0" borderId="7" xfId="0" applyFont="1" applyBorder="1" applyAlignment="1">
      <alignment horizontal="left" vertical="center"/>
    </xf>
    <xf numFmtId="0" fontId="13" fillId="7" borderId="3" xfId="0" applyFont="1" applyFill="1" applyBorder="1" applyAlignment="1">
      <alignment horizontal="left" vertical="center"/>
    </xf>
    <xf numFmtId="0" fontId="13" fillId="7" borderId="4" xfId="0" applyFont="1" applyFill="1" applyBorder="1" applyAlignment="1">
      <alignment horizontal="left" vertical="center"/>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164" fontId="3" fillId="0" borderId="0" xfId="2" applyNumberFormat="1" applyBorder="1" applyAlignment="1" applyProtection="1">
      <alignment horizontal="center"/>
    </xf>
    <xf numFmtId="164" fontId="5" fillId="2" borderId="0" xfId="3" applyNumberFormat="1" applyFont="1" applyBorder="1" applyAlignment="1">
      <alignment horizontal="center"/>
    </xf>
    <xf numFmtId="168" fontId="12" fillId="0" borderId="1" xfId="0" applyNumberFormat="1" applyFont="1" applyBorder="1" applyAlignment="1">
      <alignment horizontal="left" vertical="center"/>
    </xf>
    <xf numFmtId="4" fontId="12" fillId="0" borderId="1" xfId="0" applyNumberFormat="1" applyFont="1" applyBorder="1" applyAlignment="1">
      <alignment horizontal="left" vertical="center"/>
    </xf>
    <xf numFmtId="0" fontId="13" fillId="7" borderId="5" xfId="0" applyFont="1" applyFill="1" applyBorder="1" applyAlignment="1">
      <alignment horizontal="left" vertical="center"/>
    </xf>
    <xf numFmtId="3" fontId="12" fillId="0" borderId="5" xfId="0" applyNumberFormat="1" applyFont="1" applyBorder="1" applyAlignment="1">
      <alignment horizontal="left" vertical="center"/>
    </xf>
    <xf numFmtId="3" fontId="12" fillId="0" borderId="1" xfId="0" applyNumberFormat="1" applyFont="1" applyBorder="1" applyAlignment="1">
      <alignment horizontal="left" vertical="center"/>
    </xf>
    <xf numFmtId="0" fontId="40" fillId="7" borderId="5" xfId="0" applyFont="1" applyFill="1" applyBorder="1" applyAlignment="1">
      <alignment horizontal="left" vertical="center"/>
    </xf>
    <xf numFmtId="0" fontId="1" fillId="0" borderId="0" xfId="4"/>
    <xf numFmtId="37" fontId="27" fillId="0" borderId="0" xfId="8" applyNumberFormat="1" applyFont="1" applyAlignment="1">
      <alignment horizontal="left"/>
    </xf>
    <xf numFmtId="0" fontId="12" fillId="0" borderId="0" xfId="4" applyFont="1"/>
    <xf numFmtId="0" fontId="9" fillId="4" borderId="0" xfId="4" applyFont="1" applyFill="1" applyAlignment="1">
      <alignment horizontal="left" vertical="center"/>
    </xf>
    <xf numFmtId="0" fontId="12" fillId="4" borderId="0" xfId="4" applyFont="1" applyFill="1"/>
    <xf numFmtId="0" fontId="36" fillId="4" borderId="0" xfId="12" applyFill="1">
      <alignment horizontal="left" vertical="center"/>
    </xf>
    <xf numFmtId="176" fontId="38" fillId="4" borderId="0" xfId="12" applyNumberFormat="1" applyFont="1" applyFill="1" applyAlignment="1">
      <alignment horizontal="right" vertical="center"/>
    </xf>
    <xf numFmtId="0" fontId="1" fillId="0" borderId="0" xfId="4" applyAlignment="1">
      <alignment vertical="center"/>
    </xf>
    <xf numFmtId="3" fontId="12" fillId="0" borderId="1" xfId="4" applyNumberFormat="1" applyFont="1" applyBorder="1" applyAlignment="1">
      <alignment horizontal="left" vertical="center"/>
    </xf>
    <xf numFmtId="3" fontId="12" fillId="0" borderId="1" xfId="4" applyNumberFormat="1" applyFont="1" applyBorder="1" applyAlignment="1">
      <alignment horizontal="center" vertical="center"/>
    </xf>
    <xf numFmtId="4" fontId="12" fillId="0" borderId="1" xfId="4" applyNumberFormat="1" applyFont="1" applyBorder="1" applyAlignment="1">
      <alignment horizontal="center" vertical="center"/>
    </xf>
    <xf numFmtId="0" fontId="13" fillId="7" borderId="9" xfId="4" applyFont="1" applyFill="1" applyBorder="1" applyAlignment="1">
      <alignment horizontal="left" vertical="center"/>
    </xf>
    <xf numFmtId="0" fontId="13" fillId="7" borderId="3" xfId="4" applyFont="1" applyFill="1" applyBorder="1" applyAlignment="1">
      <alignment horizontal="left" vertical="center"/>
    </xf>
    <xf numFmtId="0" fontId="13" fillId="7" borderId="5" xfId="4" applyFont="1" applyFill="1" applyBorder="1" applyAlignment="1">
      <alignment horizontal="left" vertical="center"/>
    </xf>
    <xf numFmtId="0" fontId="13" fillId="7" borderId="6" xfId="4" applyFont="1" applyFill="1" applyBorder="1" applyAlignment="1">
      <alignment horizontal="center" vertical="center"/>
    </xf>
    <xf numFmtId="0" fontId="13" fillId="7" borderId="6" xfId="4" applyFont="1" applyFill="1" applyBorder="1" applyAlignment="1">
      <alignment horizontal="center" vertical="center" wrapText="1"/>
    </xf>
    <xf numFmtId="0" fontId="13" fillId="7" borderId="7" xfId="4" applyFont="1" applyFill="1" applyBorder="1" applyAlignment="1">
      <alignment horizontal="center" vertical="center"/>
    </xf>
    <xf numFmtId="0" fontId="13" fillId="7" borderId="10" xfId="4" applyFont="1" applyFill="1" applyBorder="1" applyAlignment="1">
      <alignment horizontal="center" vertical="center"/>
    </xf>
    <xf numFmtId="0" fontId="13" fillId="7" borderId="11" xfId="4" applyFont="1" applyFill="1" applyBorder="1" applyAlignment="1">
      <alignment horizontal="center" vertical="center"/>
    </xf>
    <xf numFmtId="0" fontId="13" fillId="7" borderId="4" xfId="4" applyFont="1" applyFill="1" applyBorder="1" applyAlignment="1">
      <alignment horizontal="center" vertical="center"/>
    </xf>
    <xf numFmtId="0" fontId="13" fillId="7" borderId="12" xfId="4" applyFont="1" applyFill="1" applyBorder="1" applyAlignment="1">
      <alignment horizontal="center" vertical="center"/>
    </xf>
    <xf numFmtId="168" fontId="12" fillId="0" borderId="1" xfId="4" applyNumberFormat="1" applyFont="1" applyBorder="1" applyAlignment="1">
      <alignment horizontal="center" vertical="center"/>
    </xf>
    <xf numFmtId="2" fontId="13" fillId="7" borderId="4" xfId="4" applyNumberFormat="1" applyFont="1" applyFill="1" applyBorder="1" applyAlignment="1">
      <alignment horizontal="center" vertical="center"/>
    </xf>
    <xf numFmtId="168" fontId="13" fillId="7" borderId="4" xfId="4" applyNumberFormat="1" applyFont="1" applyFill="1" applyBorder="1" applyAlignment="1">
      <alignment horizontal="center" vertical="center"/>
    </xf>
    <xf numFmtId="0" fontId="12" fillId="0" borderId="0" xfId="4" applyFont="1" applyAlignment="1">
      <alignment horizontal="center"/>
    </xf>
    <xf numFmtId="0" fontId="39" fillId="0" borderId="0" xfId="7" applyFont="1"/>
    <xf numFmtId="175" fontId="39" fillId="0" borderId="0" xfId="7" applyNumberFormat="1" applyFont="1"/>
    <xf numFmtId="0" fontId="25" fillId="0" borderId="0" xfId="9" applyFont="1"/>
    <xf numFmtId="174" fontId="25" fillId="0" borderId="0" xfId="9" applyNumberFormat="1" applyFont="1" applyAlignment="1">
      <alignment vertical="center"/>
    </xf>
    <xf numFmtId="0" fontId="25" fillId="0" borderId="0" xfId="9" applyFont="1" applyAlignment="1">
      <alignment vertical="center"/>
    </xf>
    <xf numFmtId="177" fontId="25" fillId="0" borderId="0" xfId="9" applyNumberFormat="1" applyFont="1" applyAlignment="1">
      <alignment vertical="center"/>
    </xf>
    <xf numFmtId="174" fontId="28" fillId="0" borderId="0" xfId="9" applyNumberFormat="1" applyFont="1" applyAlignment="1">
      <alignment vertical="center"/>
    </xf>
    <xf numFmtId="37" fontId="28" fillId="0" borderId="0" xfId="9" applyNumberFormat="1" applyFont="1" applyAlignment="1">
      <alignment vertical="center"/>
    </xf>
    <xf numFmtId="5" fontId="25" fillId="0" borderId="0" xfId="9" applyNumberFormat="1" applyFont="1" applyAlignment="1">
      <alignment vertical="center"/>
    </xf>
    <xf numFmtId="0" fontId="11" fillId="0" borderId="0" xfId="5" applyFont="1" applyFill="1">
      <alignment horizontal="left" vertical="top"/>
    </xf>
    <xf numFmtId="0" fontId="43" fillId="0" borderId="0" xfId="6" applyFont="1" applyFill="1" applyAlignment="1">
      <alignment horizontal="left"/>
    </xf>
    <xf numFmtId="0" fontId="13" fillId="7" borderId="0" xfId="4" applyFont="1" applyFill="1" applyAlignment="1">
      <alignment horizontal="center" vertical="center"/>
    </xf>
    <xf numFmtId="0" fontId="13" fillId="7" borderId="8" xfId="4" applyFont="1" applyFill="1" applyBorder="1" applyAlignment="1">
      <alignment horizontal="left" vertical="center"/>
    </xf>
    <xf numFmtId="0" fontId="13" fillId="7" borderId="0" xfId="4" applyFont="1" applyFill="1" applyAlignment="1">
      <alignment horizontal="left" vertical="center"/>
    </xf>
    <xf numFmtId="167" fontId="12" fillId="0" borderId="1" xfId="4" applyNumberFormat="1" applyFont="1" applyBorder="1" applyAlignment="1">
      <alignment horizontal="center" vertical="center"/>
    </xf>
    <xf numFmtId="177" fontId="12" fillId="0" borderId="1" xfId="4" applyNumberFormat="1" applyFont="1" applyBorder="1" applyAlignment="1">
      <alignment horizontal="center" vertical="center"/>
    </xf>
    <xf numFmtId="177" fontId="13" fillId="7" borderId="0" xfId="4" applyNumberFormat="1" applyFont="1" applyFill="1" applyAlignment="1">
      <alignment horizontal="center" vertical="center"/>
    </xf>
    <xf numFmtId="177" fontId="25" fillId="0" borderId="0" xfId="9" applyNumberFormat="1" applyFont="1"/>
    <xf numFmtId="168" fontId="40" fillId="7" borderId="1" xfId="0" applyNumberFormat="1" applyFont="1" applyFill="1" applyBorder="1" applyAlignment="1">
      <alignment horizontal="left" vertical="center"/>
    </xf>
    <xf numFmtId="0" fontId="12" fillId="0" borderId="1" xfId="0" applyFont="1" applyBorder="1" applyAlignment="1">
      <alignment horizontal="left" vertical="center"/>
    </xf>
    <xf numFmtId="9" fontId="12" fillId="0" borderId="0" xfId="0" applyNumberFormat="1" applyFont="1"/>
    <xf numFmtId="4" fontId="14" fillId="10" borderId="1" xfId="0" applyNumberFormat="1" applyFont="1" applyFill="1" applyBorder="1" applyAlignment="1">
      <alignment horizontal="right" vertical="center"/>
    </xf>
    <xf numFmtId="4" fontId="12" fillId="0" borderId="1" xfId="0" applyNumberFormat="1" applyFont="1" applyBorder="1" applyAlignment="1">
      <alignment horizontal="right" vertical="center"/>
    </xf>
    <xf numFmtId="0" fontId="12" fillId="0" borderId="0" xfId="0" applyFont="1" applyAlignment="1">
      <alignment horizontal="center" vertical="center"/>
    </xf>
    <xf numFmtId="0" fontId="29" fillId="0" borderId="0" xfId="0" applyFont="1" applyAlignment="1">
      <alignment horizontal="center" vertical="center"/>
    </xf>
    <xf numFmtId="0" fontId="12" fillId="11" borderId="0" xfId="0" applyFont="1" applyFill="1" applyAlignment="1">
      <alignment horizontal="center" vertical="center"/>
    </xf>
    <xf numFmtId="3" fontId="30" fillId="0" borderId="0" xfId="0" applyNumberFormat="1" applyFont="1" applyAlignment="1">
      <alignment horizontal="center" vertical="center"/>
    </xf>
    <xf numFmtId="0" fontId="7" fillId="12" borderId="0" xfId="0" applyFont="1" applyFill="1" applyAlignment="1">
      <alignment horizontal="center" vertical="center"/>
    </xf>
    <xf numFmtId="3" fontId="31" fillId="0" borderId="0" xfId="0" applyNumberFormat="1" applyFont="1" applyAlignment="1">
      <alignment horizontal="center" vertical="center"/>
    </xf>
    <xf numFmtId="0" fontId="12" fillId="12" borderId="0" xfId="0" applyFont="1" applyFill="1" applyAlignment="1">
      <alignment horizontal="center" vertical="center"/>
    </xf>
    <xf numFmtId="3" fontId="14" fillId="10" borderId="1" xfId="0" applyNumberFormat="1" applyFont="1" applyFill="1" applyBorder="1" applyAlignment="1">
      <alignment horizontal="right" vertical="center"/>
    </xf>
    <xf numFmtId="0" fontId="32" fillId="10" borderId="1" xfId="0" applyFont="1" applyFill="1" applyBorder="1" applyAlignment="1">
      <alignment horizontal="left" vertical="center"/>
    </xf>
    <xf numFmtId="172" fontId="32" fillId="10" borderId="1" xfId="0" applyNumberFormat="1" applyFont="1" applyFill="1" applyBorder="1" applyAlignment="1">
      <alignment horizontal="right" vertical="center"/>
    </xf>
    <xf numFmtId="172" fontId="12" fillId="0" borderId="1" xfId="0" applyNumberFormat="1" applyFont="1" applyBorder="1" applyAlignment="1">
      <alignment horizontal="right" vertical="center"/>
    </xf>
    <xf numFmtId="0" fontId="33" fillId="0" borderId="1" xfId="0" applyFont="1" applyBorder="1" applyAlignment="1">
      <alignment horizontal="left" vertical="center"/>
    </xf>
    <xf numFmtId="173" fontId="15" fillId="0" borderId="1" xfId="0" applyNumberFormat="1" applyFont="1" applyBorder="1" applyAlignment="1">
      <alignment horizontal="right" vertical="center"/>
    </xf>
    <xf numFmtId="169" fontId="12" fillId="0" borderId="0" xfId="0" applyNumberFormat="1" applyFont="1"/>
    <xf numFmtId="10" fontId="13" fillId="7" borderId="1" xfId="0" applyNumberFormat="1" applyFont="1" applyFill="1" applyBorder="1" applyAlignment="1">
      <alignment horizontal="right" vertical="center"/>
    </xf>
    <xf numFmtId="10" fontId="14" fillId="0" borderId="1" xfId="0" applyNumberFormat="1" applyFont="1" applyBorder="1" applyAlignment="1">
      <alignment horizontal="left" vertical="center"/>
    </xf>
    <xf numFmtId="10" fontId="14" fillId="10" borderId="1" xfId="0" applyNumberFormat="1" applyFont="1" applyFill="1" applyBorder="1" applyAlignment="1">
      <alignment horizontal="left" vertical="center"/>
    </xf>
    <xf numFmtId="172" fontId="14" fillId="10" borderId="1" xfId="0" applyNumberFormat="1" applyFont="1" applyFill="1" applyBorder="1" applyAlignment="1">
      <alignment horizontal="right" vertical="center"/>
    </xf>
    <xf numFmtId="0" fontId="48" fillId="0" borderId="0" xfId="0" applyFont="1" applyAlignment="1">
      <alignment horizontal="left" vertical="center"/>
    </xf>
    <xf numFmtId="0" fontId="45" fillId="0" borderId="0" xfId="0" applyFont="1" applyAlignment="1">
      <alignment horizontal="left" vertical="center"/>
    </xf>
    <xf numFmtId="169" fontId="39" fillId="0" borderId="0" xfId="0" applyNumberFormat="1" applyFont="1" applyAlignment="1">
      <alignment horizontal="left" vertical="center"/>
    </xf>
    <xf numFmtId="0" fontId="44" fillId="0" borderId="0" xfId="0" applyFont="1" applyAlignment="1">
      <alignment horizontal="left" vertical="center" wrapText="1"/>
    </xf>
    <xf numFmtId="169" fontId="39" fillId="0" borderId="0" xfId="0" applyNumberFormat="1" applyFont="1"/>
    <xf numFmtId="9" fontId="46" fillId="0" borderId="0" xfId="0" applyNumberFormat="1" applyFont="1" applyAlignment="1">
      <alignment horizontal="left" vertical="center"/>
    </xf>
    <xf numFmtId="0" fontId="44" fillId="0" borderId="0" xfId="0" applyFont="1" applyAlignment="1">
      <alignment vertical="center"/>
    </xf>
    <xf numFmtId="0" fontId="44" fillId="0" borderId="0" xfId="0" applyFont="1" applyAlignment="1">
      <alignment vertical="center" wrapText="1"/>
    </xf>
    <xf numFmtId="0" fontId="39" fillId="0" borderId="0" xfId="0" applyFont="1"/>
    <xf numFmtId="0" fontId="13" fillId="7" borderId="0" xfId="4" applyFont="1" applyFill="1" applyAlignment="1">
      <alignment horizontal="center" vertical="center"/>
    </xf>
    <xf numFmtId="0" fontId="39" fillId="0" borderId="0" xfId="0" applyFont="1" applyAlignment="1">
      <alignment horizontal="left" vertical="center"/>
    </xf>
    <xf numFmtId="0" fontId="46" fillId="0" borderId="0" xfId="0" applyFont="1" applyAlignment="1">
      <alignment horizontal="left" vertical="center"/>
    </xf>
    <xf numFmtId="0" fontId="44" fillId="0" borderId="0" xfId="0" applyFont="1" applyAlignment="1">
      <alignment horizontal="left" vertical="center" indent="1"/>
    </xf>
    <xf numFmtId="0" fontId="44" fillId="0" borderId="0" xfId="0" quotePrefix="1" applyFont="1" applyAlignment="1">
      <alignment horizontal="left" vertical="center" indent="1"/>
    </xf>
    <xf numFmtId="0" fontId="34" fillId="0" borderId="0" xfId="0" applyFont="1" applyAlignment="1">
      <alignment horizontal="left" vertical="center" wrapText="1"/>
    </xf>
  </cellXfs>
  <cellStyles count="16">
    <cellStyle name="Accent6 2" xfId="3" xr:uid="{68A3F75A-5938-4C07-B0F4-0CE951A879BE}"/>
    <cellStyle name="Bar Scenario" xfId="13" xr:uid="{FA5239E5-1EDB-4AD2-A690-52FD9CD68799}"/>
    <cellStyle name="Bar Title" xfId="12" xr:uid="{BED8E63D-1B07-4BA3-8D89-D225E743F645}"/>
    <cellStyle name="Comma 2" xfId="1" xr:uid="{6DE9F0B4-AC53-47A0-A7B9-283F8D4FCF1C}"/>
    <cellStyle name="Comma 3" xfId="15" xr:uid="{F4F406F7-3209-4632-9D24-E91A0A124394}"/>
    <cellStyle name="Comma 4" xfId="14" xr:uid="{40E8CA73-84FC-4F62-B558-B917CF8E3806}"/>
    <cellStyle name="Comma 5" xfId="11" xr:uid="{0909D26B-089C-4925-8D7A-EDA64CFC122D}"/>
    <cellStyle name="Hyperlink 2" xfId="2" xr:uid="{117D34AD-B1CA-427E-BFBD-CCFCE3BC6A63}"/>
    <cellStyle name="Normal" xfId="0" builtinId="0"/>
    <cellStyle name="Normal 2" xfId="4" xr:uid="{8EBD2628-3CF2-48AB-ACB9-2D39AC7332D9}"/>
    <cellStyle name="Normal 2 2 2" xfId="9" xr:uid="{860D130E-5A07-4AA3-9BD8-BD8C8AE31DBB}"/>
    <cellStyle name="Normal 5 2" xfId="8" xr:uid="{DDD32340-6567-427C-8205-B7D9414053A4}"/>
    <cellStyle name="Normal 6" xfId="7" xr:uid="{5408EED7-E10B-4D09-8A99-6D6FD9ED1AF2}"/>
    <cellStyle name="Percent 5" xfId="10" xr:uid="{EBFA9591-34D5-4D33-A49F-3AB24FF52B37}"/>
    <cellStyle name="Subtitle3" xfId="5" xr:uid="{7AEAAC8F-E223-4273-896D-31F9C2E38A0E}"/>
    <cellStyle name="Title" xfId="6" builtinId="15"/>
  </cellStyles>
  <dxfs count="1">
    <dxf>
      <font>
        <b/>
        <i val="0"/>
        <color theme="0"/>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ownloads\DCF%20model%20part%203%20-%20Comps%20Analysis.xlsx" TargetMode="External"/><Relationship Id="rId1" Type="http://schemas.openxmlformats.org/officeDocument/2006/relationships/externalLinkPath" Target="/Users/DELL/Downloads/DCF%20model%20part%203%20-%20Comps%20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ELL\Downloads\Finance%20project\DCF%20model%20part%203%20-%20Comps%20Analysis.xlsx" TargetMode="External"/><Relationship Id="rId1" Type="http://schemas.openxmlformats.org/officeDocument/2006/relationships/externalLinkPath" Target="DCF%20model%20part%203%20-%20Comp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Model"/>
      <sheetName val="Comps"/>
      <sheetName val="Data Sheet"/>
    </sheetNames>
    <sheetDataSet>
      <sheetData sheetId="0" refreshError="1">
        <row r="22">
          <cell r="C22">
            <v>0.02</v>
          </cell>
        </row>
        <row r="43">
          <cell r="E43">
            <v>620.4600000000014</v>
          </cell>
          <cell r="F43">
            <v>1299.5800000000004</v>
          </cell>
          <cell r="G43">
            <v>1924.7799999999997</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Model"/>
      <sheetName val="Comps"/>
      <sheetName val="Data Sheet"/>
    </sheetNames>
    <sheetDataSet>
      <sheetData sheetId="0">
        <row r="26">
          <cell r="C26">
            <v>0.25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8DDA-8B91-4E15-B3AB-7C7EF369364C}">
  <dimension ref="B1:H191"/>
  <sheetViews>
    <sheetView showGridLines="0" tabSelected="1" topLeftCell="A178" zoomScale="101" zoomScaleNormal="40" workbookViewId="0">
      <selection activeCell="C185" sqref="C185"/>
    </sheetView>
  </sheetViews>
  <sheetFormatPr defaultRowHeight="14.25"/>
  <cols>
    <col min="1" max="1" width="1.625" customWidth="1"/>
    <col min="2" max="2" width="73.875" customWidth="1"/>
    <col min="3" max="3" width="10" bestFit="1" customWidth="1"/>
    <col min="6" max="7" width="9.125" bestFit="1" customWidth="1"/>
    <col min="8" max="8" width="14.625" customWidth="1"/>
  </cols>
  <sheetData>
    <row r="1" spans="2:5" ht="11.25" customHeight="1">
      <c r="B1" s="107"/>
    </row>
    <row r="2" spans="2:5" ht="24">
      <c r="B2" s="13" t="s">
        <v>112</v>
      </c>
    </row>
    <row r="3" spans="2:5">
      <c r="B3" s="9"/>
      <c r="C3" s="9"/>
      <c r="D3" s="9"/>
      <c r="E3" s="9"/>
    </row>
    <row r="4" spans="2:5">
      <c r="B4" s="9"/>
      <c r="C4" s="9"/>
      <c r="D4" s="9"/>
      <c r="E4" s="9"/>
    </row>
    <row r="6" spans="2:5" ht="22.5">
      <c r="B6" s="12" t="s">
        <v>0</v>
      </c>
      <c r="C6" s="9"/>
      <c r="D6" s="9"/>
      <c r="E6" s="9"/>
    </row>
    <row r="8" spans="2:5" ht="18">
      <c r="B8" s="11" t="s">
        <v>56</v>
      </c>
    </row>
    <row r="10" spans="2:5" ht="18">
      <c r="B10" s="10" t="s">
        <v>57</v>
      </c>
    </row>
    <row r="11" spans="2:5" ht="18">
      <c r="B11" s="10" t="s">
        <v>55</v>
      </c>
    </row>
    <row r="12" spans="2:5" ht="18">
      <c r="B12" s="10" t="s">
        <v>58</v>
      </c>
    </row>
    <row r="13" spans="2:5">
      <c r="B13" s="14"/>
    </row>
    <row r="14" spans="2:5" ht="18">
      <c r="B14" s="10" t="s">
        <v>59</v>
      </c>
    </row>
    <row r="16" spans="2:5" ht="22.5">
      <c r="B16" s="12" t="s">
        <v>60</v>
      </c>
    </row>
    <row r="17" spans="2:7" ht="15" thickBot="1"/>
    <row r="18" spans="2:7" ht="15" thickBot="1">
      <c r="B18" s="15" t="s">
        <v>61</v>
      </c>
      <c r="C18" s="16" t="s">
        <v>62</v>
      </c>
      <c r="D18" s="59" t="s">
        <v>63</v>
      </c>
      <c r="E18" s="60"/>
      <c r="F18" s="60"/>
    </row>
    <row r="19" spans="2:7" ht="15" thickBot="1">
      <c r="B19" s="17" t="s">
        <v>64</v>
      </c>
      <c r="C19" s="18"/>
      <c r="D19" s="56"/>
      <c r="E19" s="57"/>
      <c r="F19" s="58"/>
    </row>
    <row r="20" spans="2:7" ht="15" thickBot="1">
      <c r="B20" s="17" t="s">
        <v>65</v>
      </c>
      <c r="C20" s="19"/>
      <c r="D20" s="56"/>
      <c r="E20" s="57"/>
      <c r="F20" s="58"/>
    </row>
    <row r="21" spans="2:7" ht="15" thickBot="1">
      <c r="B21" s="17" t="s">
        <v>66</v>
      </c>
      <c r="C21" s="20">
        <v>0.2</v>
      </c>
      <c r="D21" s="56" t="s">
        <v>67</v>
      </c>
      <c r="E21" s="57"/>
      <c r="F21" s="58"/>
    </row>
    <row r="22" spans="2:7" ht="15" thickBot="1">
      <c r="B22" s="17" t="s">
        <v>68</v>
      </c>
      <c r="C22" s="20">
        <v>0.02</v>
      </c>
      <c r="D22" s="56"/>
      <c r="E22" s="57"/>
      <c r="F22" s="58"/>
    </row>
    <row r="23" spans="2:7" ht="15" thickBot="1">
      <c r="B23" s="17" t="s">
        <v>69</v>
      </c>
      <c r="C23" s="21">
        <v>0.06</v>
      </c>
      <c r="D23" s="61" t="s">
        <v>70</v>
      </c>
      <c r="E23" s="62"/>
      <c r="F23" s="63"/>
    </row>
    <row r="24" spans="2:7" ht="15" thickBot="1">
      <c r="B24" s="17" t="s">
        <v>71</v>
      </c>
      <c r="C24" s="21">
        <v>6.5000000000000002E-2</v>
      </c>
      <c r="D24" s="56" t="s">
        <v>72</v>
      </c>
      <c r="E24" s="57"/>
      <c r="F24" s="58"/>
    </row>
    <row r="25" spans="2:7" ht="15" thickBot="1">
      <c r="B25" s="17" t="s">
        <v>73</v>
      </c>
      <c r="C25" s="21">
        <f>12%-C24</f>
        <v>5.4999999999999993E-2</v>
      </c>
      <c r="D25" s="56" t="s">
        <v>74</v>
      </c>
      <c r="E25" s="57"/>
      <c r="F25" s="58"/>
    </row>
    <row r="26" spans="2:7" ht="15" thickBot="1">
      <c r="B26" s="17" t="s">
        <v>75</v>
      </c>
      <c r="C26" s="21">
        <v>0.25</v>
      </c>
      <c r="D26" s="56" t="s">
        <v>76</v>
      </c>
      <c r="E26" s="57"/>
      <c r="F26" s="58"/>
    </row>
    <row r="28" spans="2:7" ht="22.5">
      <c r="B28" s="12" t="s">
        <v>77</v>
      </c>
      <c r="C28" s="22"/>
      <c r="D28" s="22"/>
      <c r="E28" s="22"/>
      <c r="F28" s="23"/>
      <c r="G28" s="23"/>
    </row>
    <row r="29" spans="2:7" ht="25.5">
      <c r="B29" s="24" t="s">
        <v>78</v>
      </c>
      <c r="C29" s="23"/>
      <c r="D29" s="23"/>
      <c r="E29" s="23"/>
      <c r="F29" s="23"/>
      <c r="G29" s="23"/>
    </row>
    <row r="30" spans="2:7" ht="16.5" thickBot="1">
      <c r="B30" s="25" t="s">
        <v>79</v>
      </c>
      <c r="C30" s="26">
        <v>2021</v>
      </c>
      <c r="D30" s="26">
        <f t="shared" ref="D30:G30" si="0">C30+1</f>
        <v>2022</v>
      </c>
      <c r="E30" s="26">
        <f t="shared" si="0"/>
        <v>2023</v>
      </c>
      <c r="F30" s="26">
        <f t="shared" si="0"/>
        <v>2024</v>
      </c>
      <c r="G30" s="26">
        <f t="shared" si="0"/>
        <v>2025</v>
      </c>
    </row>
    <row r="31" spans="2:7" ht="15" thickBot="1">
      <c r="B31" s="17" t="s">
        <v>12</v>
      </c>
      <c r="C31" s="27">
        <f>'Data Sheet'!G17</f>
        <v>2592.96</v>
      </c>
      <c r="D31" s="27">
        <f>'Data Sheet'!H17</f>
        <v>4498.0200000000004</v>
      </c>
      <c r="E31" s="27">
        <f>'Data Sheet'!I17</f>
        <v>8242.02</v>
      </c>
      <c r="F31" s="27">
        <f>'Data Sheet'!J17</f>
        <v>12375.11</v>
      </c>
      <c r="G31" s="27">
        <f>'Data Sheet'!K17</f>
        <v>17134.61</v>
      </c>
    </row>
    <row r="32" spans="2:7" ht="15" thickBot="1">
      <c r="B32" s="28" t="s">
        <v>80</v>
      </c>
      <c r="C32" s="27"/>
      <c r="D32" s="29">
        <f>D31/C31-1</f>
        <v>0.73470473898556099</v>
      </c>
      <c r="E32" s="29">
        <f t="shared" ref="E32:G32" si="1">E31/D31-1</f>
        <v>0.83236624114610414</v>
      </c>
      <c r="F32" s="29">
        <f t="shared" si="1"/>
        <v>0.50146566011730132</v>
      </c>
      <c r="G32" s="29">
        <f t="shared" si="1"/>
        <v>0.38460264191591031</v>
      </c>
    </row>
    <row r="33" spans="2:7" ht="15" thickBot="1">
      <c r="B33" s="17" t="s">
        <v>81</v>
      </c>
      <c r="C33" s="27">
        <f>SUM('Data Sheet'!G18,-'Data Sheet'!G19,'Data Sheet'!G20:G21)</f>
        <v>1675.41</v>
      </c>
      <c r="D33" s="27">
        <f>SUM('Data Sheet'!H18,-'Data Sheet'!H19,'Data Sheet'!H20:H21)</f>
        <v>2680.5699999999997</v>
      </c>
      <c r="E33" s="27">
        <f>SUM('Data Sheet'!I18,-'Data Sheet'!I19,'Data Sheet'!I20:I21)</f>
        <v>5076.0099999999993</v>
      </c>
      <c r="F33" s="27">
        <f>SUM('Data Sheet'!J18,-'Data Sheet'!J19,'Data Sheet'!J20:J21)</f>
        <v>7452.64</v>
      </c>
      <c r="G33" s="27">
        <f>SUM('Data Sheet'!K18,-'Data Sheet'!K19,'Data Sheet'!K20:K21)</f>
        <v>10408.800000000001</v>
      </c>
    </row>
    <row r="34" spans="2:7" ht="15" thickBot="1">
      <c r="B34" s="28" t="s">
        <v>82</v>
      </c>
      <c r="C34" s="29">
        <f t="shared" ref="C34:G34" si="2">C33/C31</f>
        <v>0.64613800444279901</v>
      </c>
      <c r="D34" s="29">
        <f t="shared" si="2"/>
        <v>0.59594443777484307</v>
      </c>
      <c r="E34" s="29">
        <f t="shared" si="2"/>
        <v>0.61586965331314403</v>
      </c>
      <c r="F34" s="29">
        <f t="shared" si="2"/>
        <v>0.60222818221413787</v>
      </c>
      <c r="G34" s="29">
        <f t="shared" si="2"/>
        <v>0.60747224477242268</v>
      </c>
    </row>
    <row r="35" spans="2:7" ht="15" thickBot="1">
      <c r="B35" s="30" t="s">
        <v>83</v>
      </c>
      <c r="C35" s="31">
        <f>C31-C33</f>
        <v>917.55</v>
      </c>
      <c r="D35" s="31">
        <f t="shared" ref="D35:G35" si="3">D31-D33</f>
        <v>1817.4500000000007</v>
      </c>
      <c r="E35" s="31">
        <f t="shared" si="3"/>
        <v>3166.0100000000011</v>
      </c>
      <c r="F35" s="31">
        <f t="shared" si="3"/>
        <v>4922.47</v>
      </c>
      <c r="G35" s="31">
        <f t="shared" si="3"/>
        <v>6725.8099999999995</v>
      </c>
    </row>
    <row r="36" spans="2:7" ht="15" thickBot="1">
      <c r="B36" s="32" t="s">
        <v>84</v>
      </c>
      <c r="C36" s="33">
        <f t="shared" ref="C36:G36" si="4">C35/C31</f>
        <v>0.35386199555720099</v>
      </c>
      <c r="D36" s="33">
        <f t="shared" si="4"/>
        <v>0.40405556222515698</v>
      </c>
      <c r="E36" s="33">
        <f t="shared" si="4"/>
        <v>0.38413034668685603</v>
      </c>
      <c r="F36" s="33">
        <f t="shared" si="4"/>
        <v>0.39777181778586213</v>
      </c>
      <c r="G36" s="33">
        <f t="shared" si="4"/>
        <v>0.39252775522757738</v>
      </c>
    </row>
    <row r="37" spans="2:7" ht="15" thickBot="1">
      <c r="B37" s="17" t="s">
        <v>85</v>
      </c>
      <c r="C37" s="27">
        <f>SUM('Data Sheet'!G22:G24)</f>
        <v>803.68</v>
      </c>
      <c r="D37" s="27">
        <f>SUM('Data Sheet'!H22:H24)</f>
        <v>1222.73</v>
      </c>
      <c r="E37" s="27">
        <f>SUM('Data Sheet'!I22:I24)</f>
        <v>2051.8599999999997</v>
      </c>
      <c r="F37" s="27">
        <f>SUM('Data Sheet'!J22:J24)</f>
        <v>2951.7799999999997</v>
      </c>
      <c r="G37" s="27">
        <f>SUM('Data Sheet'!K22:K24)</f>
        <v>3905.85</v>
      </c>
    </row>
    <row r="38" spans="2:7" ht="15" thickBot="1">
      <c r="B38" s="28" t="s">
        <v>82</v>
      </c>
      <c r="C38" s="29">
        <f t="shared" ref="C38:G38" si="5">C37/C31</f>
        <v>0.30994693323460443</v>
      </c>
      <c r="D38" s="29">
        <f t="shared" si="5"/>
        <v>0.27183738622771797</v>
      </c>
      <c r="E38" s="29">
        <f t="shared" si="5"/>
        <v>0.24895110664618619</v>
      </c>
      <c r="F38" s="29">
        <f t="shared" si="5"/>
        <v>0.2385255565405075</v>
      </c>
      <c r="G38" s="29">
        <f t="shared" si="5"/>
        <v>0.22795091338524773</v>
      </c>
    </row>
    <row r="39" spans="2:7" ht="15" thickBot="1">
      <c r="B39" s="30" t="s">
        <v>86</v>
      </c>
      <c r="C39" s="31">
        <f t="shared" ref="C39:G39" si="6">C35-C37</f>
        <v>113.87</v>
      </c>
      <c r="D39" s="31">
        <f t="shared" si="6"/>
        <v>594.72000000000071</v>
      </c>
      <c r="E39" s="31">
        <f t="shared" si="6"/>
        <v>1114.1500000000015</v>
      </c>
      <c r="F39" s="31">
        <f t="shared" si="6"/>
        <v>1970.6900000000005</v>
      </c>
      <c r="G39" s="31">
        <f t="shared" si="6"/>
        <v>2819.9599999999996</v>
      </c>
    </row>
    <row r="40" spans="2:7" ht="15" thickBot="1">
      <c r="B40" s="32" t="s">
        <v>84</v>
      </c>
      <c r="C40" s="33">
        <f t="shared" ref="C40:G40" si="7">C39/C31</f>
        <v>4.3915062322596572E-2</v>
      </c>
      <c r="D40" s="33">
        <f t="shared" si="7"/>
        <v>0.13221817599743901</v>
      </c>
      <c r="E40" s="33">
        <f t="shared" si="7"/>
        <v>0.13517924004066981</v>
      </c>
      <c r="F40" s="33">
        <f t="shared" si="7"/>
        <v>0.15924626124535463</v>
      </c>
      <c r="G40" s="33">
        <f t="shared" si="7"/>
        <v>0.16457684184232962</v>
      </c>
    </row>
    <row r="41" spans="2:7" ht="15" thickBot="1">
      <c r="B41" s="17" t="s">
        <v>21</v>
      </c>
      <c r="C41" s="27">
        <f>'Data Sheet'!G26</f>
        <v>257.3</v>
      </c>
      <c r="D41" s="27">
        <f>'Data Sheet'!H26</f>
        <v>310.82</v>
      </c>
      <c r="E41" s="27">
        <f>'Data Sheet'!I26</f>
        <v>493.69</v>
      </c>
      <c r="F41" s="27">
        <f>'Data Sheet'!J26</f>
        <v>671.11</v>
      </c>
      <c r="G41" s="27">
        <f>'Data Sheet'!K26</f>
        <v>895.18</v>
      </c>
    </row>
    <row r="42" spans="2:7" ht="15" thickBot="1">
      <c r="B42" s="28" t="s">
        <v>87</v>
      </c>
      <c r="C42" s="29">
        <f t="shared" ref="C42:G42" si="8">C41/C31</f>
        <v>9.9230223374058998E-2</v>
      </c>
      <c r="D42" s="29">
        <f t="shared" si="8"/>
        <v>6.9101515778053443E-2</v>
      </c>
      <c r="E42" s="29">
        <f t="shared" si="8"/>
        <v>5.9899150936299592E-2</v>
      </c>
      <c r="F42" s="29">
        <f t="shared" si="8"/>
        <v>5.4230629061075009E-2</v>
      </c>
      <c r="G42" s="29">
        <f t="shared" si="8"/>
        <v>5.2243967035141149E-2</v>
      </c>
    </row>
    <row r="43" spans="2:7" ht="15" thickBot="1">
      <c r="B43" s="30" t="s">
        <v>88</v>
      </c>
      <c r="C43" s="31">
        <f t="shared" ref="C43:G43" si="9">C39-C41</f>
        <v>-143.43</v>
      </c>
      <c r="D43" s="31">
        <f t="shared" si="9"/>
        <v>283.90000000000072</v>
      </c>
      <c r="E43" s="31">
        <f t="shared" si="9"/>
        <v>620.4600000000014</v>
      </c>
      <c r="F43" s="31">
        <f t="shared" si="9"/>
        <v>1299.5800000000004</v>
      </c>
      <c r="G43" s="31">
        <f t="shared" si="9"/>
        <v>1924.7799999999997</v>
      </c>
    </row>
    <row r="44" spans="2:7" ht="15" thickBot="1">
      <c r="B44" s="32" t="s">
        <v>84</v>
      </c>
      <c r="C44" s="33">
        <f t="shared" ref="C44:G44" si="10">C43/C31</f>
        <v>-5.5315161051462426E-2</v>
      </c>
      <c r="D44" s="33">
        <f t="shared" si="10"/>
        <v>6.311666021938557E-2</v>
      </c>
      <c r="E44" s="33">
        <f t="shared" si="10"/>
        <v>7.5280089104370215E-2</v>
      </c>
      <c r="F44" s="33">
        <f t="shared" si="10"/>
        <v>0.1050156321842796</v>
      </c>
      <c r="G44" s="33">
        <f t="shared" si="10"/>
        <v>0.11233287480718847</v>
      </c>
    </row>
    <row r="45" spans="2:7" ht="15" thickBot="1">
      <c r="B45" s="17" t="s">
        <v>20</v>
      </c>
      <c r="C45" s="27">
        <f>'Data Sheet'!G25</f>
        <v>199.4</v>
      </c>
      <c r="D45" s="27">
        <f>'Data Sheet'!H25</f>
        <v>152.16</v>
      </c>
      <c r="E45" s="27">
        <f>'Data Sheet'!I25</f>
        <v>340.6</v>
      </c>
      <c r="F45" s="27">
        <f>'Data Sheet'!J25</f>
        <v>988.91</v>
      </c>
      <c r="G45" s="27">
        <f>'Data Sheet'!K25</f>
        <v>305.06</v>
      </c>
    </row>
    <row r="46" spans="2:7" ht="15" thickBot="1">
      <c r="B46" s="17" t="s">
        <v>22</v>
      </c>
      <c r="C46" s="27">
        <f>'Data Sheet'!G27</f>
        <v>260.79000000000002</v>
      </c>
      <c r="D46" s="27">
        <f>'Data Sheet'!H27</f>
        <v>324.83999999999997</v>
      </c>
      <c r="E46" s="27">
        <f>'Data Sheet'!I27</f>
        <v>408.99</v>
      </c>
      <c r="F46" s="27">
        <f>'Data Sheet'!J27</f>
        <v>367.66</v>
      </c>
      <c r="G46" s="27">
        <f>'Data Sheet'!K27</f>
        <v>200.1</v>
      </c>
    </row>
    <row r="47" spans="2:7" ht="15" thickBot="1">
      <c r="B47" s="28" t="s">
        <v>89</v>
      </c>
      <c r="C47" s="29">
        <f>C46/'Data Sheet'!G59</f>
        <v>0.86950288400626818</v>
      </c>
      <c r="D47" s="29">
        <f>D46/'Data Sheet'!H59</f>
        <v>6.8743968713494849E-2</v>
      </c>
      <c r="E47" s="29">
        <f>E46/'Data Sheet'!I59</f>
        <v>9.1616750370732095E-2</v>
      </c>
      <c r="F47" s="29">
        <f>F46/'Data Sheet'!J59</f>
        <v>0.2097330846154285</v>
      </c>
      <c r="G47" s="29">
        <f>G46/'Data Sheet'!K59</f>
        <v>8.9442559639547822E-2</v>
      </c>
    </row>
    <row r="48" spans="2:7" ht="15" thickBot="1">
      <c r="B48" s="30" t="s">
        <v>23</v>
      </c>
      <c r="C48" s="31">
        <f t="shared" ref="C48:G48" si="11">C43+C45-C46</f>
        <v>-204.82000000000002</v>
      </c>
      <c r="D48" s="31">
        <f t="shared" si="11"/>
        <v>111.22000000000077</v>
      </c>
      <c r="E48" s="31">
        <f t="shared" si="11"/>
        <v>552.07000000000141</v>
      </c>
      <c r="F48" s="31">
        <f t="shared" si="11"/>
        <v>1920.8300000000002</v>
      </c>
      <c r="G48" s="31">
        <f t="shared" si="11"/>
        <v>2029.7399999999998</v>
      </c>
    </row>
    <row r="49" spans="2:7" ht="15" thickBot="1">
      <c r="B49" s="32" t="s">
        <v>82</v>
      </c>
      <c r="C49" s="33">
        <f t="shared" ref="C49:G49" si="12">C48/C31</f>
        <v>-7.899080587436752E-2</v>
      </c>
      <c r="D49" s="33">
        <f t="shared" si="12"/>
        <v>2.4726435187038018E-2</v>
      </c>
      <c r="E49" s="33">
        <f t="shared" si="12"/>
        <v>6.698236597339019E-2</v>
      </c>
      <c r="F49" s="33">
        <f t="shared" si="12"/>
        <v>0.15521720615008675</v>
      </c>
      <c r="G49" s="33">
        <f t="shared" si="12"/>
        <v>0.11845848840446323</v>
      </c>
    </row>
    <row r="50" spans="2:7" ht="15" thickBot="1">
      <c r="B50" s="17" t="s">
        <v>24</v>
      </c>
      <c r="C50" s="27">
        <f>'Data Sheet'!G29</f>
        <v>-58.65</v>
      </c>
      <c r="D50" s="27">
        <f>'Data Sheet'!H29</f>
        <v>5.39</v>
      </c>
      <c r="E50" s="27">
        <f>'Data Sheet'!I29</f>
        <v>107.44</v>
      </c>
      <c r="F50" s="27">
        <f>'Data Sheet'!J29</f>
        <v>434.03</v>
      </c>
      <c r="G50" s="27">
        <f>'Data Sheet'!K29</f>
        <v>483.02</v>
      </c>
    </row>
    <row r="51" spans="2:7" ht="15" thickBot="1">
      <c r="B51" s="28" t="s">
        <v>90</v>
      </c>
      <c r="C51" s="29">
        <f t="shared" ref="C51:G51" si="13">C50/C48</f>
        <v>0.2863489893565081</v>
      </c>
      <c r="D51" s="29">
        <f t="shared" si="13"/>
        <v>4.8462506743391143E-2</v>
      </c>
      <c r="E51" s="29">
        <f t="shared" si="13"/>
        <v>0.1946130019743868</v>
      </c>
      <c r="F51" s="29">
        <f t="shared" si="13"/>
        <v>0.22595961120973743</v>
      </c>
      <c r="G51" s="29">
        <f t="shared" si="13"/>
        <v>0.23797136579069242</v>
      </c>
    </row>
    <row r="52" spans="2:7" ht="15" thickBot="1">
      <c r="B52" s="30" t="s">
        <v>25</v>
      </c>
      <c r="C52" s="31">
        <f t="shared" ref="C52:G52" si="14">C48-C50</f>
        <v>-146.17000000000002</v>
      </c>
      <c r="D52" s="31">
        <f t="shared" si="14"/>
        <v>105.83000000000077</v>
      </c>
      <c r="E52" s="31">
        <f t="shared" si="14"/>
        <v>444.63000000000142</v>
      </c>
      <c r="F52" s="31">
        <f t="shared" si="14"/>
        <v>1486.8000000000002</v>
      </c>
      <c r="G52" s="31">
        <f t="shared" si="14"/>
        <v>1546.7199999999998</v>
      </c>
    </row>
    <row r="53" spans="2:7" ht="15" thickBot="1">
      <c r="B53" s="32" t="s">
        <v>82</v>
      </c>
      <c r="C53" s="33">
        <f t="shared" ref="C53:G53" si="15">C52/C31</f>
        <v>-5.6371868443786256E-2</v>
      </c>
      <c r="D53" s="33">
        <f t="shared" si="15"/>
        <v>2.3528130155046165E-2</v>
      </c>
      <c r="E53" s="33">
        <f t="shared" si="15"/>
        <v>5.39467266519617E-2</v>
      </c>
      <c r="F53" s="33">
        <f t="shared" si="15"/>
        <v>0.12014438659535148</v>
      </c>
      <c r="G53" s="33">
        <f t="shared" si="15"/>
        <v>9.0268760129352213E-2</v>
      </c>
    </row>
    <row r="55" spans="2:7" ht="25.5">
      <c r="B55" s="24" t="s">
        <v>30</v>
      </c>
      <c r="C55" s="23"/>
      <c r="D55" s="23"/>
      <c r="E55" s="23"/>
      <c r="F55" s="23"/>
      <c r="G55" s="23"/>
    </row>
    <row r="56" spans="2:7" ht="15.75">
      <c r="B56" s="25" t="s">
        <v>79</v>
      </c>
      <c r="C56" s="34">
        <f t="shared" ref="C56:G56" si="16">C30</f>
        <v>2021</v>
      </c>
      <c r="D56" s="34">
        <f t="shared" si="16"/>
        <v>2022</v>
      </c>
      <c r="E56" s="34">
        <f t="shared" si="16"/>
        <v>2023</v>
      </c>
      <c r="F56" s="34">
        <f t="shared" si="16"/>
        <v>2024</v>
      </c>
      <c r="G56" s="34">
        <f t="shared" si="16"/>
        <v>2025</v>
      </c>
    </row>
    <row r="57" spans="2:7">
      <c r="B57" s="35" t="s">
        <v>31</v>
      </c>
      <c r="C57" s="23">
        <f>'Data Sheet'!G57</f>
        <v>35.549999999999997</v>
      </c>
      <c r="D57" s="23">
        <f>'Data Sheet'!H57</f>
        <v>35.549999999999997</v>
      </c>
      <c r="E57" s="23">
        <f>'Data Sheet'!I57</f>
        <v>35.549999999999997</v>
      </c>
      <c r="F57" s="23">
        <f>'Data Sheet'!J57</f>
        <v>35.549999999999997</v>
      </c>
      <c r="G57" s="23">
        <f>'Data Sheet'!K57</f>
        <v>35.549999999999997</v>
      </c>
    </row>
    <row r="58" spans="2:7">
      <c r="B58" s="35" t="s">
        <v>32</v>
      </c>
      <c r="C58" s="23">
        <f>'Data Sheet'!G58</f>
        <v>2277.48</v>
      </c>
      <c r="D58" s="23">
        <f>'Data Sheet'!H58</f>
        <v>2328.4499999999998</v>
      </c>
      <c r="E58" s="23">
        <f>'Data Sheet'!I58</f>
        <v>2559.94</v>
      </c>
      <c r="F58" s="23">
        <f>'Data Sheet'!J58</f>
        <v>4032.19</v>
      </c>
      <c r="G58" s="23">
        <f>'Data Sheet'!K58</f>
        <v>5426.19</v>
      </c>
    </row>
    <row r="59" spans="2:7">
      <c r="B59" s="35" t="s">
        <v>33</v>
      </c>
      <c r="C59" s="23">
        <f>'Data Sheet'!G59</f>
        <v>299.93</v>
      </c>
      <c r="D59" s="23">
        <f>'Data Sheet'!H59</f>
        <v>4725.3599999999997</v>
      </c>
      <c r="E59" s="23">
        <f>'Data Sheet'!I59</f>
        <v>4464.1400000000003</v>
      </c>
      <c r="F59" s="23">
        <f>'Data Sheet'!J59</f>
        <v>1752.99</v>
      </c>
      <c r="G59" s="23">
        <f>'Data Sheet'!K59</f>
        <v>2237.19</v>
      </c>
    </row>
    <row r="60" spans="2:7" ht="15" thickBot="1">
      <c r="B60" s="35" t="s">
        <v>34</v>
      </c>
      <c r="C60" s="23">
        <f>'Data Sheet'!G60</f>
        <v>3110.77</v>
      </c>
      <c r="D60" s="23">
        <f>'Data Sheet'!H60</f>
        <v>636.66</v>
      </c>
      <c r="E60" s="23">
        <f>'Data Sheet'!I60</f>
        <v>1021.9</v>
      </c>
      <c r="F60" s="23">
        <f>'Data Sheet'!J60</f>
        <v>1341.02</v>
      </c>
      <c r="G60" s="23">
        <f>'Data Sheet'!K60</f>
        <v>1720.71</v>
      </c>
    </row>
    <row r="61" spans="2:7" ht="15" thickBot="1">
      <c r="B61" s="30" t="s">
        <v>35</v>
      </c>
      <c r="C61" s="31">
        <f t="shared" ref="C61:G61" si="17">SUM(C57:C60)</f>
        <v>5723.73</v>
      </c>
      <c r="D61" s="31">
        <f t="shared" si="17"/>
        <v>7726.0199999999995</v>
      </c>
      <c r="E61" s="31">
        <f t="shared" si="17"/>
        <v>8081.5300000000007</v>
      </c>
      <c r="F61" s="31">
        <f t="shared" si="17"/>
        <v>7161.75</v>
      </c>
      <c r="G61" s="31">
        <f t="shared" si="17"/>
        <v>9419.64</v>
      </c>
    </row>
    <row r="62" spans="2:7">
      <c r="B62" s="35" t="s">
        <v>36</v>
      </c>
      <c r="C62" s="23">
        <f>'Data Sheet'!G62</f>
        <v>3053.82</v>
      </c>
      <c r="D62" s="23">
        <f>'Data Sheet'!H62</f>
        <v>4686.71</v>
      </c>
      <c r="E62" s="23">
        <f>'Data Sheet'!I62</f>
        <v>4526.95</v>
      </c>
      <c r="F62" s="23">
        <f>'Data Sheet'!J62</f>
        <v>2449.92</v>
      </c>
      <c r="G62" s="23">
        <f>'Data Sheet'!K62</f>
        <v>3895.13</v>
      </c>
    </row>
    <row r="63" spans="2:7">
      <c r="B63" s="35" t="s">
        <v>37</v>
      </c>
      <c r="C63" s="23">
        <f>'Data Sheet'!G63</f>
        <v>107.98</v>
      </c>
      <c r="D63" s="23">
        <f>'Data Sheet'!H63</f>
        <v>104.72</v>
      </c>
      <c r="E63" s="23">
        <f>'Data Sheet'!I63</f>
        <v>101.72</v>
      </c>
      <c r="F63" s="23">
        <f>'Data Sheet'!J63</f>
        <v>223.78</v>
      </c>
      <c r="G63" s="23">
        <f>'Data Sheet'!K63</f>
        <v>179.5</v>
      </c>
    </row>
    <row r="64" spans="2:7">
      <c r="B64" s="35" t="s">
        <v>38</v>
      </c>
      <c r="C64" s="23">
        <f>'Data Sheet'!G64</f>
        <v>1487.29</v>
      </c>
      <c r="D64" s="23">
        <f>'Data Sheet'!H64</f>
        <v>1283.72</v>
      </c>
      <c r="E64" s="23">
        <f>'Data Sheet'!I64</f>
        <v>1109.8699999999999</v>
      </c>
      <c r="F64" s="23">
        <f>'Data Sheet'!J64</f>
        <v>1416.03</v>
      </c>
      <c r="G64" s="23">
        <f>'Data Sheet'!K64</f>
        <v>1480.25</v>
      </c>
    </row>
    <row r="65" spans="2:7">
      <c r="B65" s="35" t="s">
        <v>40</v>
      </c>
      <c r="C65" s="23">
        <f>'Data Sheet'!G67</f>
        <v>20.77</v>
      </c>
      <c r="D65" s="23">
        <f>'Data Sheet'!H67</f>
        <v>18.260000000000002</v>
      </c>
      <c r="E65" s="23">
        <f>'Data Sheet'!I67</f>
        <v>34.39</v>
      </c>
      <c r="F65" s="23">
        <f>'Data Sheet'!J67</f>
        <v>81.739999999999995</v>
      </c>
      <c r="G65" s="23">
        <f>'Data Sheet'!K67</f>
        <v>62.95</v>
      </c>
    </row>
    <row r="66" spans="2:7">
      <c r="B66" s="35" t="s">
        <v>41</v>
      </c>
      <c r="C66" s="23">
        <f>'Data Sheet'!G68</f>
        <v>428.39</v>
      </c>
      <c r="D66" s="23">
        <f>'Data Sheet'!H68</f>
        <v>867.78</v>
      </c>
      <c r="E66" s="23">
        <f>'Data Sheet'!I68</f>
        <v>1361.16</v>
      </c>
      <c r="F66" s="23">
        <f>'Data Sheet'!J68</f>
        <v>1582.73</v>
      </c>
      <c r="G66" s="23">
        <f>'Data Sheet'!K68</f>
        <v>2045.05</v>
      </c>
    </row>
    <row r="67" spans="2:7">
      <c r="B67" s="35" t="s">
        <v>42</v>
      </c>
      <c r="C67" s="23">
        <f>'Data Sheet'!G69</f>
        <v>81.47</v>
      </c>
      <c r="D67" s="23">
        <f>'Data Sheet'!H69</f>
        <v>85.97</v>
      </c>
      <c r="E67" s="23">
        <f>'Data Sheet'!I69</f>
        <v>86.3</v>
      </c>
      <c r="F67" s="23">
        <f>'Data Sheet'!J69</f>
        <v>297.56</v>
      </c>
      <c r="G67" s="23">
        <f>'Data Sheet'!K69</f>
        <v>339.84</v>
      </c>
    </row>
    <row r="68" spans="2:7" ht="15" thickBot="1">
      <c r="B68" s="35" t="s">
        <v>39</v>
      </c>
      <c r="C68" s="23">
        <f>'Data Sheet'!G65-SUM('Data Sheet'!G67:G69)</f>
        <v>544.0100000000001</v>
      </c>
      <c r="D68" s="23">
        <f>'Data Sheet'!H65-SUM('Data Sheet'!H67:H69)</f>
        <v>678.8599999999999</v>
      </c>
      <c r="E68" s="23">
        <f>'Data Sheet'!I65-SUM('Data Sheet'!I67:I69)</f>
        <v>861.13999999999965</v>
      </c>
      <c r="F68" s="23">
        <f>'Data Sheet'!J65-SUM('Data Sheet'!J67:J69)</f>
        <v>1109.99</v>
      </c>
      <c r="G68" s="23">
        <f>'Data Sheet'!K65-SUM('Data Sheet'!K67:K69)</f>
        <v>1416.92</v>
      </c>
    </row>
    <row r="69" spans="2:7" ht="15" thickBot="1">
      <c r="B69" s="30" t="s">
        <v>35</v>
      </c>
      <c r="C69" s="31">
        <f t="shared" ref="C69:G69" si="18">SUM(C62:C68)</f>
        <v>5723.7300000000014</v>
      </c>
      <c r="D69" s="31">
        <f t="shared" si="18"/>
        <v>7726.02</v>
      </c>
      <c r="E69" s="31">
        <f t="shared" si="18"/>
        <v>8081.53</v>
      </c>
      <c r="F69" s="31">
        <f t="shared" si="18"/>
        <v>7161.7500000000009</v>
      </c>
      <c r="G69" s="31">
        <f t="shared" si="18"/>
        <v>9419.64</v>
      </c>
    </row>
    <row r="70" spans="2:7">
      <c r="B70" s="36"/>
      <c r="C70" s="23"/>
      <c r="D70" s="23"/>
      <c r="E70" s="23"/>
      <c r="F70" s="23"/>
      <c r="G70" s="23"/>
    </row>
    <row r="71" spans="2:7" ht="21" thickBot="1">
      <c r="B71" s="37" t="s">
        <v>91</v>
      </c>
      <c r="C71" s="22"/>
      <c r="D71" s="22"/>
      <c r="E71" s="22"/>
      <c r="F71" s="23"/>
      <c r="G71" s="38"/>
    </row>
    <row r="72" spans="2:7" ht="15" thickBot="1">
      <c r="B72" s="15" t="s">
        <v>92</v>
      </c>
      <c r="C72" s="39" t="s">
        <v>93</v>
      </c>
      <c r="D72" s="39" t="s">
        <v>94</v>
      </c>
      <c r="E72" s="39" t="s">
        <v>95</v>
      </c>
      <c r="F72" s="39" t="s">
        <v>96</v>
      </c>
      <c r="G72" s="39" t="s">
        <v>97</v>
      </c>
    </row>
    <row r="73" spans="2:7" ht="15" thickBot="1">
      <c r="B73" s="17" t="s">
        <v>98</v>
      </c>
      <c r="C73" s="40">
        <f t="array" ref="C73:G73">CHOOSE(D75,C76:G76,C77:G77,C78:G78)</f>
        <v>0.2</v>
      </c>
      <c r="D73" s="40">
        <v>0.18000000000000002</v>
      </c>
      <c r="E73" s="40">
        <v>0.16000000000000003</v>
      </c>
      <c r="F73" s="40">
        <v>0.14000000000000004</v>
      </c>
      <c r="G73" s="40">
        <v>0.12000000000000004</v>
      </c>
    </row>
    <row r="74" spans="2:7" ht="15" thickBot="1">
      <c r="B74" s="17" t="s">
        <v>99</v>
      </c>
      <c r="C74" s="41">
        <f>G31*(1+C73)</f>
        <v>20561.531999999999</v>
      </c>
      <c r="D74" s="41">
        <f t="shared" ref="D74:G74" si="19">C74*(1+D73)</f>
        <v>24262.607759999999</v>
      </c>
      <c r="E74" s="41">
        <f t="shared" si="19"/>
        <v>28144.625001600001</v>
      </c>
      <c r="F74" s="41">
        <f t="shared" si="19"/>
        <v>32084.872501824004</v>
      </c>
      <c r="G74" s="41">
        <f t="shared" si="19"/>
        <v>35935.057202042888</v>
      </c>
    </row>
    <row r="75" spans="2:7" ht="15" thickBot="1">
      <c r="B75" s="42" t="s">
        <v>100</v>
      </c>
      <c r="C75" s="43" t="s">
        <v>101</v>
      </c>
      <c r="D75" s="44">
        <f>MATCH(C75,B76:B78,0)</f>
        <v>1</v>
      </c>
      <c r="E75" s="45"/>
      <c r="F75" s="45"/>
      <c r="G75" s="46"/>
    </row>
    <row r="76" spans="2:7" ht="15" thickBot="1">
      <c r="B76" s="47" t="s">
        <v>101</v>
      </c>
      <c r="C76" s="48">
        <f>C21</f>
        <v>0.2</v>
      </c>
      <c r="D76" s="48">
        <f>C76-$C$22</f>
        <v>0.18000000000000002</v>
      </c>
      <c r="E76" s="48">
        <f t="shared" ref="E76:G76" si="20">D76-$C$22</f>
        <v>0.16000000000000003</v>
      </c>
      <c r="F76" s="48">
        <f t="shared" si="20"/>
        <v>0.14000000000000004</v>
      </c>
      <c r="G76" s="48">
        <f t="shared" si="20"/>
        <v>0.12000000000000004</v>
      </c>
    </row>
    <row r="77" spans="2:7" ht="15" thickBot="1">
      <c r="B77" s="49" t="s">
        <v>102</v>
      </c>
      <c r="C77" s="48">
        <f>C76+5%</f>
        <v>0.25</v>
      </c>
      <c r="D77" s="50">
        <f>C77-$C$22</f>
        <v>0.23</v>
      </c>
      <c r="E77" s="50">
        <f t="shared" ref="E77:G77" si="21">D77-$C$22</f>
        <v>0.21000000000000002</v>
      </c>
      <c r="F77" s="50">
        <f t="shared" si="21"/>
        <v>0.19000000000000003</v>
      </c>
      <c r="G77" s="50">
        <f t="shared" si="21"/>
        <v>0.17000000000000004</v>
      </c>
    </row>
    <row r="78" spans="2:7" ht="15" thickBot="1">
      <c r="B78" s="49" t="s">
        <v>103</v>
      </c>
      <c r="C78" s="48">
        <f>C76-5%</f>
        <v>0.15000000000000002</v>
      </c>
      <c r="D78" s="50">
        <f>C78-$C$22</f>
        <v>0.13000000000000003</v>
      </c>
      <c r="E78" s="50">
        <f t="shared" ref="E78:G78" si="22">D78-$C$22</f>
        <v>0.11000000000000003</v>
      </c>
      <c r="F78" s="50">
        <f t="shared" si="22"/>
        <v>9.0000000000000024E-2</v>
      </c>
      <c r="G78" s="50">
        <f t="shared" si="22"/>
        <v>7.0000000000000021E-2</v>
      </c>
    </row>
    <row r="79" spans="2:7">
      <c r="B79" s="36"/>
      <c r="C79" s="23"/>
      <c r="D79" s="23"/>
      <c r="E79" s="23"/>
      <c r="F79" s="23"/>
      <c r="G79" s="23"/>
    </row>
    <row r="80" spans="2:7" ht="21" thickBot="1">
      <c r="B80" s="37" t="s">
        <v>104</v>
      </c>
      <c r="C80" s="22"/>
      <c r="D80" s="22"/>
      <c r="E80" s="22"/>
      <c r="F80" s="23"/>
      <c r="G80" s="23"/>
    </row>
    <row r="81" spans="2:8" ht="15" thickBot="1">
      <c r="B81" s="15" t="s">
        <v>79</v>
      </c>
      <c r="C81" s="39" t="s">
        <v>93</v>
      </c>
      <c r="D81" s="39" t="s">
        <v>94</v>
      </c>
      <c r="E81" s="39" t="s">
        <v>95</v>
      </c>
      <c r="F81" s="39" t="s">
        <v>96</v>
      </c>
      <c r="G81" s="39" t="s">
        <v>97</v>
      </c>
    </row>
    <row r="82" spans="2:8" ht="15" thickBot="1">
      <c r="B82" s="17" t="s">
        <v>105</v>
      </c>
      <c r="C82" s="51">
        <f t="shared" ref="C82:G82" si="23">C74</f>
        <v>20561.531999999999</v>
      </c>
      <c r="D82" s="51">
        <f t="shared" si="23"/>
        <v>24262.607759999999</v>
      </c>
      <c r="E82" s="51">
        <f t="shared" si="23"/>
        <v>28144.625001600001</v>
      </c>
      <c r="F82" s="51">
        <f t="shared" si="23"/>
        <v>32084.872501824004</v>
      </c>
      <c r="G82" s="51">
        <f t="shared" si="23"/>
        <v>35935.057202042888</v>
      </c>
    </row>
    <row r="83" spans="2:8" ht="15" thickBot="1">
      <c r="B83" s="17" t="s">
        <v>106</v>
      </c>
      <c r="C83" s="40">
        <f>G40</f>
        <v>0.16457684184232962</v>
      </c>
      <c r="D83" s="40">
        <f t="shared" ref="D83:G83" si="24">C83</f>
        <v>0.16457684184232962</v>
      </c>
      <c r="E83" s="40">
        <f t="shared" si="24"/>
        <v>0.16457684184232962</v>
      </c>
      <c r="F83" s="40">
        <f t="shared" si="24"/>
        <v>0.16457684184232962</v>
      </c>
      <c r="G83" s="40">
        <f t="shared" si="24"/>
        <v>0.16457684184232962</v>
      </c>
    </row>
    <row r="84" spans="2:8" ht="15" thickBot="1">
      <c r="B84" s="17" t="s">
        <v>86</v>
      </c>
      <c r="C84" s="51">
        <f t="shared" ref="C84:G84" si="25">C82*C83</f>
        <v>3383.9519999999993</v>
      </c>
      <c r="D84" s="51">
        <f t="shared" si="25"/>
        <v>3993.0633599999992</v>
      </c>
      <c r="E84" s="51">
        <f t="shared" si="25"/>
        <v>4631.9534975999995</v>
      </c>
      <c r="F84" s="51">
        <f t="shared" si="25"/>
        <v>5280.4269872639998</v>
      </c>
      <c r="G84" s="51">
        <f t="shared" si="25"/>
        <v>5914.0782257356805</v>
      </c>
    </row>
    <row r="85" spans="2:8" ht="15" thickBot="1">
      <c r="B85" s="17" t="s">
        <v>107</v>
      </c>
      <c r="C85" s="52">
        <f t="shared" ref="C85:G85" si="26">C82*AVERAGE($C$42:$G$42)</f>
        <v>1376.4115129521581</v>
      </c>
      <c r="D85" s="52">
        <f t="shared" si="26"/>
        <v>1624.1655852835465</v>
      </c>
      <c r="E85" s="52">
        <f t="shared" si="26"/>
        <v>1884.032078928914</v>
      </c>
      <c r="F85" s="52">
        <f t="shared" si="26"/>
        <v>2147.796569978962</v>
      </c>
      <c r="G85" s="52">
        <f t="shared" si="26"/>
        <v>2405.532158376438</v>
      </c>
    </row>
    <row r="86" spans="2:8" ht="15" thickBot="1">
      <c r="B86" s="17" t="s">
        <v>88</v>
      </c>
      <c r="C86" s="51">
        <f t="shared" ref="C86:G86" si="27">C84-C85</f>
        <v>2007.5404870478412</v>
      </c>
      <c r="D86" s="51">
        <f t="shared" si="27"/>
        <v>2368.8977747164527</v>
      </c>
      <c r="E86" s="51">
        <f t="shared" si="27"/>
        <v>2747.9214186710856</v>
      </c>
      <c r="F86" s="51">
        <f t="shared" si="27"/>
        <v>3132.6304172850378</v>
      </c>
      <c r="G86" s="51">
        <f t="shared" si="27"/>
        <v>3508.5460673592424</v>
      </c>
    </row>
    <row r="87" spans="2:8" ht="15" thickBot="1">
      <c r="B87" s="17" t="s">
        <v>108</v>
      </c>
      <c r="C87" s="52">
        <f>C86*$C$26</f>
        <v>501.88512176196031</v>
      </c>
      <c r="D87" s="52">
        <f t="shared" ref="D87:G87" si="28">D86*$C$26</f>
        <v>592.22444367911316</v>
      </c>
      <c r="E87" s="52">
        <f t="shared" si="28"/>
        <v>686.98035466777139</v>
      </c>
      <c r="F87" s="52">
        <f t="shared" si="28"/>
        <v>783.15760432125944</v>
      </c>
      <c r="G87" s="52">
        <f t="shared" si="28"/>
        <v>877.13651683981061</v>
      </c>
    </row>
    <row r="88" spans="2:8" ht="15" thickBot="1">
      <c r="B88" s="17" t="s">
        <v>51</v>
      </c>
      <c r="C88" s="51">
        <f t="shared" ref="C88:G88" si="29">C86-C87</f>
        <v>1505.6553652858809</v>
      </c>
      <c r="D88" s="51">
        <f t="shared" si="29"/>
        <v>1776.6733310373395</v>
      </c>
      <c r="E88" s="51">
        <f t="shared" si="29"/>
        <v>2060.9410640033143</v>
      </c>
      <c r="F88" s="51">
        <f t="shared" si="29"/>
        <v>2349.4728129637783</v>
      </c>
      <c r="G88" s="51">
        <f t="shared" si="29"/>
        <v>2631.4095505194318</v>
      </c>
    </row>
    <row r="89" spans="2:8" ht="15" thickBot="1">
      <c r="B89" s="17" t="s">
        <v>109</v>
      </c>
      <c r="C89" s="51">
        <f t="shared" ref="C89:G89" si="30">C85</f>
        <v>1376.4115129521581</v>
      </c>
      <c r="D89" s="51">
        <f t="shared" si="30"/>
        <v>1624.1655852835465</v>
      </c>
      <c r="E89" s="51">
        <f t="shared" si="30"/>
        <v>1884.032078928914</v>
      </c>
      <c r="F89" s="51">
        <f t="shared" si="30"/>
        <v>2147.796569978962</v>
      </c>
      <c r="G89" s="51">
        <f t="shared" si="30"/>
        <v>2405.532158376438</v>
      </c>
    </row>
    <row r="90" spans="2:8" ht="15" thickBot="1">
      <c r="B90" s="17" t="s">
        <v>110</v>
      </c>
      <c r="C90" s="53">
        <f t="shared" ref="C90:G90" si="31">-C88*50%</f>
        <v>-752.82768264294043</v>
      </c>
      <c r="D90" s="53">
        <f t="shared" si="31"/>
        <v>-888.33666551866975</v>
      </c>
      <c r="E90" s="53">
        <f t="shared" si="31"/>
        <v>-1030.4705320016571</v>
      </c>
      <c r="F90" s="53">
        <f t="shared" si="31"/>
        <v>-1174.7364064818892</v>
      </c>
      <c r="G90" s="53">
        <f t="shared" si="31"/>
        <v>-1315.7047752597159</v>
      </c>
    </row>
    <row r="91" spans="2:8" ht="15" thickBot="1">
      <c r="B91" s="54" t="s">
        <v>111</v>
      </c>
      <c r="C91" s="55">
        <f t="shared" ref="C91:G91" si="32">SUM(C88:C90)</f>
        <v>2129.2391955950984</v>
      </c>
      <c r="D91" s="55">
        <f t="shared" si="32"/>
        <v>2512.5022508022162</v>
      </c>
      <c r="E91" s="55">
        <f t="shared" si="32"/>
        <v>2914.5026109305709</v>
      </c>
      <c r="F91" s="55">
        <f t="shared" si="32"/>
        <v>3322.5329764608514</v>
      </c>
      <c r="G91" s="55">
        <f t="shared" si="32"/>
        <v>3721.2369336361539</v>
      </c>
    </row>
    <row r="93" spans="2:8" ht="22.5">
      <c r="B93" s="12" t="s">
        <v>114</v>
      </c>
      <c r="C93" s="12"/>
      <c r="D93" s="12"/>
      <c r="E93" s="12"/>
      <c r="F93" s="23"/>
      <c r="G93" s="23"/>
      <c r="H93" s="23"/>
    </row>
    <row r="94" spans="2:8" ht="16.5" thickBot="1">
      <c r="B94" s="97"/>
      <c r="C94" s="97"/>
      <c r="D94" s="23"/>
      <c r="E94" s="23"/>
      <c r="F94" s="23"/>
      <c r="G94" s="23"/>
      <c r="H94" s="23"/>
    </row>
    <row r="95" spans="2:8" ht="15" thickBot="1">
      <c r="B95" s="68" t="s">
        <v>115</v>
      </c>
      <c r="C95" s="15"/>
      <c r="D95" s="23"/>
      <c r="E95" s="23"/>
      <c r="F95" s="23"/>
      <c r="G95" s="23"/>
      <c r="H95" s="23"/>
    </row>
    <row r="96" spans="2:8" ht="15" thickBot="1">
      <c r="B96" s="69" t="s">
        <v>116</v>
      </c>
      <c r="C96" s="66">
        <f>Comps!F24</f>
        <v>2.181783005592702E-2</v>
      </c>
      <c r="D96" s="23"/>
      <c r="E96" s="23"/>
      <c r="F96" s="23"/>
      <c r="G96" s="23"/>
      <c r="H96" s="23"/>
    </row>
    <row r="97" spans="2:8" ht="15" thickBot="1">
      <c r="B97" s="69" t="s">
        <v>117</v>
      </c>
      <c r="C97" s="66">
        <f>1-C96</f>
        <v>0.97818216994407303</v>
      </c>
      <c r="D97" s="23"/>
      <c r="E97" s="23"/>
      <c r="F97" s="23"/>
      <c r="G97" s="23"/>
      <c r="H97" s="23"/>
    </row>
    <row r="98" spans="2:8" ht="15" thickBot="1">
      <c r="B98" s="68" t="s">
        <v>118</v>
      </c>
      <c r="C98" s="15"/>
      <c r="D98" s="23"/>
      <c r="E98" s="23"/>
      <c r="F98" s="23"/>
      <c r="G98" s="23"/>
      <c r="H98" s="23"/>
    </row>
    <row r="99" spans="2:8" ht="15" thickBot="1">
      <c r="B99" s="69" t="s">
        <v>119</v>
      </c>
      <c r="C99" s="70">
        <f>Comps!E9</f>
        <v>170282</v>
      </c>
      <c r="D99" s="23"/>
      <c r="E99" s="23"/>
      <c r="F99" s="23"/>
      <c r="G99" s="23"/>
      <c r="H99" s="23"/>
    </row>
    <row r="100" spans="2:8" ht="15" thickBot="1">
      <c r="B100" s="69" t="s">
        <v>120</v>
      </c>
      <c r="C100" s="70">
        <f>Comps!J9</f>
        <v>2237</v>
      </c>
      <c r="D100" s="23"/>
      <c r="E100" s="23"/>
      <c r="F100" s="23"/>
      <c r="G100" s="23"/>
      <c r="H100" s="23"/>
    </row>
    <row r="101" spans="2:8" ht="15" thickBot="1">
      <c r="B101" s="69" t="s">
        <v>121</v>
      </c>
      <c r="C101" s="66">
        <f>C100/C99</f>
        <v>1.3137031512432317E-2</v>
      </c>
      <c r="D101" s="23"/>
      <c r="E101" s="23"/>
      <c r="F101" s="23"/>
      <c r="G101" s="23"/>
      <c r="H101" s="23"/>
    </row>
    <row r="102" spans="2:8" ht="15" thickBot="1">
      <c r="B102" s="68" t="s">
        <v>122</v>
      </c>
      <c r="C102" s="15"/>
      <c r="D102" s="23"/>
      <c r="E102" s="23"/>
      <c r="F102" s="23"/>
      <c r="G102" s="23"/>
      <c r="H102" s="23"/>
    </row>
    <row r="103" spans="2:8" ht="15" thickBot="1">
      <c r="B103" s="69" t="s">
        <v>123</v>
      </c>
      <c r="C103" s="66">
        <v>7.0000000000000007E-2</v>
      </c>
      <c r="D103" s="23"/>
      <c r="E103" s="23"/>
      <c r="F103" s="23"/>
      <c r="G103" s="23"/>
      <c r="H103" s="23"/>
    </row>
    <row r="104" spans="2:8" ht="15" thickBot="1">
      <c r="B104" s="69" t="s">
        <v>75</v>
      </c>
      <c r="C104" s="66">
        <f>Tax_rate</f>
        <v>0.25</v>
      </c>
      <c r="D104" s="23"/>
      <c r="E104" s="23"/>
      <c r="F104" s="23"/>
      <c r="G104" s="23"/>
      <c r="H104" s="23"/>
    </row>
    <row r="105" spans="2:8" ht="15" thickBot="1">
      <c r="B105" s="69" t="s">
        <v>124</v>
      </c>
      <c r="C105" s="66">
        <f>C103*(1-C104)</f>
        <v>5.2500000000000005E-2</v>
      </c>
      <c r="D105" s="23"/>
      <c r="E105" s="23"/>
      <c r="F105" s="23"/>
      <c r="G105" s="23"/>
      <c r="H105" s="23"/>
    </row>
    <row r="106" spans="2:8" ht="15" thickBot="1">
      <c r="B106" s="68" t="s">
        <v>125</v>
      </c>
      <c r="C106" s="15"/>
      <c r="D106" s="23"/>
      <c r="E106" s="23"/>
      <c r="F106" s="23"/>
      <c r="G106" s="23"/>
      <c r="H106" s="23"/>
    </row>
    <row r="107" spans="2:8" ht="15" thickBot="1">
      <c r="B107" s="69" t="s">
        <v>126</v>
      </c>
      <c r="C107" s="66">
        <f>C24</f>
        <v>6.5000000000000002E-2</v>
      </c>
      <c r="D107" s="23"/>
      <c r="E107" s="23"/>
      <c r="F107" s="23"/>
      <c r="G107" s="23"/>
      <c r="H107" s="23"/>
    </row>
    <row r="108" spans="2:8" ht="15" thickBot="1">
      <c r="B108" s="69" t="s">
        <v>127</v>
      </c>
      <c r="C108" s="66">
        <f>C25</f>
        <v>5.4999999999999993E-2</v>
      </c>
      <c r="D108" s="23"/>
      <c r="E108" s="23"/>
      <c r="F108" s="23"/>
      <c r="G108" s="23"/>
      <c r="H108" s="23"/>
    </row>
    <row r="109" spans="2:8" ht="15" thickBot="1">
      <c r="B109" s="69" t="s">
        <v>128</v>
      </c>
      <c r="C109" s="67">
        <f>Comps!I24*(1+Sheet1!C101*(1-Tax_rate))</f>
        <v>0.75122701093642563</v>
      </c>
      <c r="D109" s="23"/>
      <c r="E109" s="23"/>
      <c r="F109" s="23"/>
      <c r="G109" s="23"/>
      <c r="H109" s="23"/>
    </row>
    <row r="110" spans="2:8" ht="15" thickBot="1">
      <c r="B110" s="69" t="s">
        <v>125</v>
      </c>
      <c r="C110" s="66">
        <f>C107+C109*C108</f>
        <v>0.10631748560150341</v>
      </c>
      <c r="D110" s="23"/>
      <c r="E110" s="23"/>
      <c r="F110" s="23"/>
      <c r="G110" s="23"/>
      <c r="H110" s="23"/>
    </row>
    <row r="111" spans="2:8" ht="18.75" thickBot="1">
      <c r="B111" s="71" t="s">
        <v>129</v>
      </c>
      <c r="C111" s="115">
        <f>(C110*C97)+(C105*C96)</f>
        <v>0.10514330484661251</v>
      </c>
      <c r="D111" s="23"/>
      <c r="E111" s="23"/>
      <c r="F111" s="23"/>
      <c r="G111" s="23"/>
      <c r="H111" s="23"/>
    </row>
    <row r="112" spans="2:8">
      <c r="B112" s="36"/>
      <c r="C112" s="23"/>
      <c r="D112" s="23"/>
      <c r="E112" s="23"/>
      <c r="F112" s="23"/>
      <c r="G112" s="23"/>
      <c r="H112" s="23"/>
    </row>
    <row r="113" spans="2:8" ht="22.5">
      <c r="B113" s="12" t="s">
        <v>130</v>
      </c>
      <c r="C113" s="12"/>
      <c r="D113" s="12"/>
      <c r="E113" s="12"/>
      <c r="F113" s="23"/>
      <c r="G113" s="23"/>
      <c r="H113" s="23"/>
    </row>
    <row r="114" spans="2:8" ht="15" thickBot="1">
      <c r="B114" s="36"/>
      <c r="C114" s="23"/>
      <c r="D114" s="23"/>
      <c r="E114" s="23"/>
      <c r="F114" s="23"/>
      <c r="G114" s="23"/>
      <c r="H114" s="23"/>
    </row>
    <row r="115" spans="2:8" ht="15" thickBot="1">
      <c r="B115" s="17" t="s">
        <v>131</v>
      </c>
      <c r="C115" s="41">
        <f>G91</f>
        <v>3721.2369336361539</v>
      </c>
      <c r="D115" s="23"/>
      <c r="E115" s="23"/>
      <c r="F115" s="23"/>
      <c r="G115" s="23"/>
      <c r="H115" s="23"/>
    </row>
    <row r="116" spans="2:8" ht="15" thickBot="1">
      <c r="B116" s="17" t="s">
        <v>132</v>
      </c>
      <c r="C116" s="21">
        <f>C23</f>
        <v>0.06</v>
      </c>
      <c r="D116" s="23"/>
      <c r="E116" s="23"/>
      <c r="F116" s="23"/>
      <c r="G116" s="23"/>
      <c r="H116" s="23"/>
    </row>
    <row r="117" spans="2:8" ht="15" thickBot="1">
      <c r="B117" s="17" t="s">
        <v>133</v>
      </c>
      <c r="C117" s="116"/>
      <c r="D117" s="23"/>
      <c r="E117" s="23"/>
      <c r="F117" s="117"/>
      <c r="G117" s="23"/>
      <c r="H117" s="23"/>
    </row>
    <row r="118" spans="2:8" ht="15" thickBot="1">
      <c r="B118" s="54" t="s">
        <v>134</v>
      </c>
      <c r="C118" s="118">
        <f>C115*(1+C116)/(C111-C116)</f>
        <v>87377.544977199723</v>
      </c>
      <c r="D118" s="23"/>
      <c r="E118" s="23"/>
      <c r="F118" s="23"/>
      <c r="G118" s="23"/>
      <c r="H118" s="23"/>
    </row>
    <row r="119" spans="2:8">
      <c r="B119" s="36"/>
      <c r="C119" s="23"/>
      <c r="D119" s="23"/>
      <c r="E119" s="23"/>
      <c r="F119" s="23"/>
      <c r="G119" s="23"/>
      <c r="H119" s="23"/>
    </row>
    <row r="120" spans="2:8" ht="22.5">
      <c r="B120" s="12" t="s">
        <v>135</v>
      </c>
      <c r="C120" s="12"/>
      <c r="D120" s="12"/>
      <c r="E120" s="12"/>
      <c r="F120" s="23"/>
      <c r="G120" s="23"/>
      <c r="H120" s="23"/>
    </row>
    <row r="121" spans="2:8" ht="15" thickBot="1">
      <c r="B121" s="36"/>
      <c r="C121" s="23"/>
      <c r="D121" s="23"/>
      <c r="E121" s="23"/>
      <c r="F121" s="23"/>
      <c r="G121" s="23"/>
      <c r="H121" s="23"/>
    </row>
    <row r="122" spans="2:8" ht="15" thickBot="1">
      <c r="B122" s="15" t="s">
        <v>92</v>
      </c>
      <c r="C122" s="39" t="s">
        <v>93</v>
      </c>
      <c r="D122" s="39" t="s">
        <v>94</v>
      </c>
      <c r="E122" s="39" t="s">
        <v>95</v>
      </c>
      <c r="F122" s="39" t="s">
        <v>96</v>
      </c>
      <c r="G122" s="39" t="s">
        <v>97</v>
      </c>
      <c r="H122" s="39" t="s">
        <v>134</v>
      </c>
    </row>
    <row r="123" spans="2:8" ht="15" thickBot="1">
      <c r="B123" s="17" t="s">
        <v>136</v>
      </c>
      <c r="C123" s="41">
        <f t="shared" ref="C123:G123" si="33">C91</f>
        <v>2129.2391955950984</v>
      </c>
      <c r="D123" s="41">
        <f t="shared" si="33"/>
        <v>2512.5022508022162</v>
      </c>
      <c r="E123" s="41">
        <f t="shared" si="33"/>
        <v>2914.5026109305709</v>
      </c>
      <c r="F123" s="41">
        <f t="shared" si="33"/>
        <v>3322.5329764608514</v>
      </c>
      <c r="G123" s="41">
        <f t="shared" si="33"/>
        <v>3721.2369336361539</v>
      </c>
      <c r="H123" s="41">
        <f>C118</f>
        <v>87377.544977199723</v>
      </c>
    </row>
    <row r="124" spans="2:8" ht="15" thickBot="1">
      <c r="B124" s="17" t="s">
        <v>137</v>
      </c>
      <c r="C124" s="119">
        <f>1/(1+$C$111)^1</f>
        <v>0.90486002640064322</v>
      </c>
      <c r="D124" s="119">
        <f>1/(1+$C$111)^2</f>
        <v>0.81877166737777285</v>
      </c>
      <c r="E124" s="119">
        <f>1/(1+$C$111)^3</f>
        <v>0.74087375255955024</v>
      </c>
      <c r="F124" s="119">
        <f>1/(1+$C$111)^4</f>
        <v>0.6703870433005783</v>
      </c>
      <c r="G124" s="119">
        <f>1/(1+$C$111)^5</f>
        <v>0.60660643769961042</v>
      </c>
      <c r="H124" s="119">
        <f>G124</f>
        <v>0.60660643769961042</v>
      </c>
    </row>
    <row r="125" spans="2:8" ht="15" thickBot="1">
      <c r="B125" s="17" t="s">
        <v>138</v>
      </c>
      <c r="C125" s="41">
        <f t="shared" ref="C125:H125" si="34">C123*C124</f>
        <v>1926.6634347394652</v>
      </c>
      <c r="D125" s="41">
        <f t="shared" si="34"/>
        <v>2057.1656571797375</v>
      </c>
      <c r="E125" s="41">
        <f t="shared" si="34"/>
        <v>2159.2784862047388</v>
      </c>
      <c r="F125" s="41">
        <f t="shared" si="34"/>
        <v>2227.3830583582599</v>
      </c>
      <c r="G125" s="41">
        <f t="shared" si="34"/>
        <v>2257.3262801492488</v>
      </c>
      <c r="H125" s="41">
        <f t="shared" si="34"/>
        <v>53003.781293556611</v>
      </c>
    </row>
    <row r="126" spans="2:8">
      <c r="B126" s="120"/>
      <c r="C126" s="23"/>
      <c r="D126" s="23"/>
      <c r="E126" s="23"/>
      <c r="F126" s="23"/>
      <c r="G126" s="23"/>
      <c r="H126" s="23"/>
    </row>
    <row r="127" spans="2:8" ht="22.5">
      <c r="B127" s="12" t="s">
        <v>139</v>
      </c>
      <c r="C127" s="12"/>
      <c r="D127" s="12"/>
      <c r="E127" s="12"/>
      <c r="F127" s="23"/>
      <c r="G127" s="23"/>
      <c r="H127" s="23"/>
    </row>
    <row r="128" spans="2:8">
      <c r="B128" s="120"/>
      <c r="C128" s="23"/>
      <c r="D128" s="23"/>
      <c r="E128" s="23"/>
      <c r="F128" s="23"/>
      <c r="G128" s="23"/>
      <c r="H128" s="23"/>
    </row>
    <row r="129" spans="2:8" ht="17.25">
      <c r="B129" s="121" t="s">
        <v>140</v>
      </c>
      <c r="C129" s="23"/>
      <c r="D129" s="23"/>
      <c r="E129" s="23"/>
      <c r="F129" s="23"/>
      <c r="G129" s="23"/>
      <c r="H129" s="23"/>
    </row>
    <row r="130" spans="2:8">
      <c r="B130" s="122"/>
      <c r="C130" s="23"/>
      <c r="D130" s="23"/>
      <c r="E130" s="23"/>
      <c r="F130" s="23"/>
      <c r="G130" s="23"/>
      <c r="H130" s="23"/>
    </row>
    <row r="131" spans="2:8" ht="20.25">
      <c r="B131" s="123">
        <f>SUM(C125:G125)</f>
        <v>10627.816916631451</v>
      </c>
      <c r="C131" s="23"/>
      <c r="D131" s="23"/>
      <c r="E131" s="23"/>
      <c r="F131" s="23"/>
      <c r="G131" s="23"/>
      <c r="H131" s="23"/>
    </row>
    <row r="132" spans="2:8" ht="18">
      <c r="B132" s="124"/>
      <c r="C132" s="23"/>
      <c r="D132" s="23"/>
      <c r="E132" s="23"/>
      <c r="F132" s="23"/>
      <c r="G132" s="23"/>
      <c r="H132" s="23"/>
    </row>
    <row r="133" spans="2:8">
      <c r="B133" s="120"/>
      <c r="C133" s="23"/>
      <c r="D133" s="23"/>
      <c r="E133" s="23"/>
      <c r="F133" s="23"/>
      <c r="G133" s="23"/>
      <c r="H133" s="23"/>
    </row>
    <row r="134" spans="2:8" ht="17.25">
      <c r="B134" s="121" t="s">
        <v>141</v>
      </c>
      <c r="C134" s="23"/>
      <c r="D134" s="23"/>
      <c r="E134" s="23"/>
      <c r="F134" s="23"/>
      <c r="G134" s="23"/>
      <c r="H134" s="23"/>
    </row>
    <row r="135" spans="2:8">
      <c r="B135" s="122"/>
      <c r="C135" s="23"/>
      <c r="D135" s="23"/>
      <c r="E135" s="23"/>
      <c r="F135" s="23"/>
      <c r="G135" s="23"/>
      <c r="H135" s="23"/>
    </row>
    <row r="136" spans="2:8" ht="20.25">
      <c r="B136" s="123">
        <f>H125</f>
        <v>53003.781293556611</v>
      </c>
      <c r="C136" s="23"/>
      <c r="D136" s="23"/>
      <c r="E136" s="23"/>
      <c r="F136" s="23"/>
      <c r="G136" s="23"/>
      <c r="H136" s="23"/>
    </row>
    <row r="137" spans="2:8" ht="18">
      <c r="B137" s="124"/>
      <c r="C137" s="23"/>
      <c r="D137" s="23"/>
      <c r="E137" s="23"/>
      <c r="F137" s="23"/>
      <c r="G137" s="23"/>
      <c r="H137" s="23"/>
    </row>
    <row r="138" spans="2:8">
      <c r="B138" s="120"/>
      <c r="C138" s="23"/>
      <c r="D138" s="23"/>
      <c r="E138" s="23"/>
      <c r="F138" s="23"/>
      <c r="G138" s="23"/>
      <c r="H138" s="23"/>
    </row>
    <row r="139" spans="2:8" ht="17.25">
      <c r="B139" s="121" t="s">
        <v>142</v>
      </c>
      <c r="C139" s="23"/>
      <c r="D139" s="23"/>
      <c r="E139" s="23"/>
      <c r="F139" s="23"/>
      <c r="G139" s="23"/>
      <c r="H139" s="23"/>
    </row>
    <row r="140" spans="2:8">
      <c r="B140" s="122"/>
      <c r="C140" s="23"/>
      <c r="D140" s="23"/>
      <c r="E140" s="23"/>
      <c r="F140" s="23"/>
      <c r="G140" s="23"/>
      <c r="H140" s="23"/>
    </row>
    <row r="141" spans="2:8" ht="24">
      <c r="B141" s="125">
        <f>B131+B136</f>
        <v>63631.598210188065</v>
      </c>
      <c r="C141" s="23"/>
      <c r="D141" s="23"/>
      <c r="E141" s="23"/>
      <c r="F141" s="23"/>
      <c r="G141" s="23"/>
      <c r="H141" s="23"/>
    </row>
    <row r="142" spans="2:8" ht="15" thickBot="1">
      <c r="B142" s="126"/>
      <c r="C142" s="23"/>
      <c r="D142" s="23"/>
      <c r="E142" s="23"/>
      <c r="F142" s="23"/>
      <c r="G142" s="23"/>
      <c r="H142" s="23"/>
    </row>
    <row r="143" spans="2:8" ht="15" thickBot="1">
      <c r="B143" s="17" t="s">
        <v>142</v>
      </c>
      <c r="C143" s="41">
        <f>B141</f>
        <v>63631.598210188065</v>
      </c>
      <c r="D143" s="23"/>
      <c r="E143" s="23"/>
      <c r="F143" s="23"/>
      <c r="G143" s="23"/>
      <c r="H143" s="23"/>
    </row>
    <row r="144" spans="2:8" ht="15" thickBot="1">
      <c r="B144" s="17" t="s">
        <v>143</v>
      </c>
      <c r="C144" s="41">
        <f>C100</f>
        <v>2237</v>
      </c>
      <c r="D144" s="23"/>
      <c r="E144" s="23"/>
      <c r="F144" s="23"/>
      <c r="G144" s="23"/>
      <c r="H144" s="23"/>
    </row>
    <row r="145" spans="2:8" ht="15" thickBot="1">
      <c r="B145" s="17" t="s">
        <v>144</v>
      </c>
      <c r="C145" s="41">
        <f>Comps!K9</f>
        <v>973</v>
      </c>
      <c r="D145" s="23"/>
      <c r="E145" s="23"/>
      <c r="F145" s="23"/>
      <c r="G145" s="23"/>
      <c r="H145" s="23"/>
    </row>
    <row r="146" spans="2:8" ht="15" thickBot="1">
      <c r="B146" s="54" t="s">
        <v>145</v>
      </c>
      <c r="C146" s="127">
        <f>C143-C144+C145</f>
        <v>62367.598210188065</v>
      </c>
      <c r="D146" s="23"/>
      <c r="E146" s="23"/>
      <c r="F146" s="23"/>
      <c r="G146" s="23"/>
      <c r="H146" s="23"/>
    </row>
    <row r="147" spans="2:8" ht="15" thickBot="1">
      <c r="B147" s="17" t="s">
        <v>146</v>
      </c>
      <c r="C147" s="52">
        <f>'Data Sheet'!K96</f>
        <v>35.549999999999997</v>
      </c>
      <c r="D147" s="23"/>
      <c r="E147" s="23"/>
      <c r="F147" s="23"/>
      <c r="G147" s="23"/>
      <c r="H147" s="23"/>
    </row>
    <row r="148" spans="2:8" ht="18.75" thickBot="1">
      <c r="B148" s="128" t="s">
        <v>147</v>
      </c>
      <c r="C148" s="129">
        <f>C146/C147</f>
        <v>1754.3628188519851</v>
      </c>
      <c r="D148" s="23"/>
      <c r="E148" s="23"/>
      <c r="F148" s="23"/>
      <c r="G148" s="23"/>
      <c r="H148" s="23"/>
    </row>
    <row r="149" spans="2:8" ht="15" thickBot="1">
      <c r="B149" s="17" t="s">
        <v>148</v>
      </c>
      <c r="C149" s="130">
        <v>4770</v>
      </c>
      <c r="D149" s="117"/>
      <c r="E149" s="23"/>
      <c r="F149" s="23"/>
      <c r="G149" s="23"/>
      <c r="H149" s="23"/>
    </row>
    <row r="150" spans="2:8" ht="15" thickBot="1">
      <c r="B150" s="131" t="s">
        <v>149</v>
      </c>
      <c r="C150" s="132">
        <f>C148/C149-1</f>
        <v>-0.63220905265157545</v>
      </c>
      <c r="D150" s="23"/>
      <c r="E150" s="23"/>
      <c r="F150" s="23"/>
      <c r="G150" s="23"/>
      <c r="H150" s="23"/>
    </row>
    <row r="151" spans="2:8">
      <c r="B151" s="36"/>
      <c r="C151" s="23"/>
      <c r="D151" s="23"/>
      <c r="E151" s="23"/>
      <c r="F151" s="23"/>
      <c r="G151" s="23"/>
      <c r="H151" s="23"/>
    </row>
    <row r="152" spans="2:8" ht="23.25" thickBot="1">
      <c r="B152" s="12" t="s">
        <v>150</v>
      </c>
      <c r="C152" s="12"/>
      <c r="D152" s="12"/>
      <c r="E152" s="12"/>
      <c r="F152" s="23"/>
      <c r="G152" s="23"/>
      <c r="H152" s="23"/>
    </row>
    <row r="153" spans="2:8" ht="15" thickBot="1">
      <c r="B153" s="15" t="s">
        <v>151</v>
      </c>
      <c r="C153" s="23"/>
      <c r="D153" s="23"/>
      <c r="E153" s="23"/>
      <c r="F153" s="23"/>
      <c r="G153" s="23"/>
      <c r="H153" s="23"/>
    </row>
    <row r="154" spans="2:8" ht="15" thickBot="1">
      <c r="B154" s="133">
        <f>C148</f>
        <v>1754.3628188519851</v>
      </c>
      <c r="C154" s="134">
        <f t="shared" ref="C154:E154" si="35">D154-0.5%</f>
        <v>9.0143304846612496E-2</v>
      </c>
      <c r="D154" s="134">
        <f t="shared" si="35"/>
        <v>9.51433048466125E-2</v>
      </c>
      <c r="E154" s="134">
        <f t="shared" si="35"/>
        <v>0.1001433048466125</v>
      </c>
      <c r="F154" s="134">
        <v>0.10514330484661251</v>
      </c>
      <c r="G154" s="134">
        <f t="shared" ref="G154:H154" si="36">F154+0.5%</f>
        <v>0.11014330484661251</v>
      </c>
      <c r="H154" s="134">
        <f t="shared" si="36"/>
        <v>0.11514330484661252</v>
      </c>
    </row>
    <row r="155" spans="2:8" ht="15" thickBot="1">
      <c r="B155" s="135">
        <f t="shared" ref="B155:B156" si="37">B156-1%</f>
        <v>3.9999999999999994E-2</v>
      </c>
      <c r="C155" s="130">
        <f t="dataTable" ref="C155:H159" dt2D="1" dtr="1" r1="C111" r2="C23"/>
        <v>1686.4009493950082</v>
      </c>
      <c r="D155" s="130">
        <v>1525.1444268422167</v>
      </c>
      <c r="E155" s="130">
        <v>1390.7819612219578</v>
      </c>
      <c r="F155" s="130">
        <v>1277.1191362400878</v>
      </c>
      <c r="G155" s="130">
        <v>1179.7277988072699</v>
      </c>
      <c r="H155" s="130">
        <v>1095.3584260311036</v>
      </c>
    </row>
    <row r="156" spans="2:8" ht="15" thickBot="1">
      <c r="B156" s="135">
        <f t="shared" si="37"/>
        <v>4.9999999999999996E-2</v>
      </c>
      <c r="C156" s="130">
        <v>2054.6039069038493</v>
      </c>
      <c r="D156" s="130">
        <v>1817.4773757252722</v>
      </c>
      <c r="E156" s="130">
        <v>1627.7285356615394</v>
      </c>
      <c r="F156" s="130">
        <v>1472.4679379685747</v>
      </c>
      <c r="G156" s="130">
        <v>1343.092426936644</v>
      </c>
      <c r="H156" s="130">
        <v>1233.6401908014643</v>
      </c>
    </row>
    <row r="157" spans="2:8" ht="15" thickBot="1">
      <c r="B157" s="136">
        <v>0.06</v>
      </c>
      <c r="C157" s="130">
        <v>2667.1085157296125</v>
      </c>
      <c r="D157" s="130">
        <v>2276.1765500723131</v>
      </c>
      <c r="E157" s="130">
        <v>1982.7254676115224</v>
      </c>
      <c r="F157" s="137">
        <v>1754.3628188519851</v>
      </c>
      <c r="G157" s="130">
        <v>1571.6161540241358</v>
      </c>
      <c r="H157" s="130">
        <v>1422.0755563235418</v>
      </c>
    </row>
    <row r="158" spans="2:8" ht="15" thickBot="1">
      <c r="B158" s="135">
        <f t="shared" ref="B158:B159" si="38">B157+1%</f>
        <v>6.9999999999999993E-2</v>
      </c>
      <c r="C158" s="130">
        <v>3887.7602121260311</v>
      </c>
      <c r="D158" s="130">
        <v>3099.7435706673705</v>
      </c>
      <c r="E158" s="130">
        <v>2573.2618891804595</v>
      </c>
      <c r="F158" s="130">
        <v>2196.6836369736693</v>
      </c>
      <c r="G158" s="130">
        <v>1913.9938490201894</v>
      </c>
      <c r="H158" s="130">
        <v>1693.9941166016708</v>
      </c>
    </row>
    <row r="159" spans="2:8" ht="15" thickBot="1">
      <c r="B159" s="135">
        <f t="shared" si="38"/>
        <v>7.9999999999999988E-2</v>
      </c>
      <c r="C159" s="130">
        <v>7515.2245102438137</v>
      </c>
      <c r="D159" s="130">
        <v>5011.0084603035903</v>
      </c>
      <c r="E159" s="130">
        <v>3750.133498610337</v>
      </c>
      <c r="F159" s="130">
        <v>2990.8442954187126</v>
      </c>
      <c r="G159" s="130">
        <v>2483.5382045654287</v>
      </c>
      <c r="H159" s="130">
        <v>2120.6611056146339</v>
      </c>
    </row>
    <row r="160" spans="2:8">
      <c r="B160" s="36"/>
      <c r="C160" s="23"/>
      <c r="D160" s="23"/>
      <c r="E160" s="23"/>
      <c r="F160" s="23"/>
      <c r="G160" s="23"/>
      <c r="H160" s="23"/>
    </row>
    <row r="161" spans="2:8" ht="22.5">
      <c r="B161" s="12" t="s">
        <v>152</v>
      </c>
      <c r="C161" s="12"/>
      <c r="D161" s="12"/>
      <c r="E161" s="12"/>
      <c r="F161" s="23"/>
      <c r="G161" s="23"/>
      <c r="H161" s="23"/>
    </row>
    <row r="162" spans="2:8">
      <c r="B162" s="36"/>
      <c r="C162" s="23"/>
      <c r="D162" s="23"/>
      <c r="E162" s="23"/>
      <c r="F162" s="23"/>
      <c r="G162" s="23"/>
      <c r="H162" s="23"/>
    </row>
    <row r="163" spans="2:8" ht="15.75">
      <c r="B163" s="138" t="s">
        <v>153</v>
      </c>
      <c r="C163" s="23"/>
      <c r="D163" s="23"/>
      <c r="E163" s="23"/>
      <c r="F163" s="23"/>
      <c r="G163" s="23"/>
      <c r="H163" s="23"/>
    </row>
    <row r="164" spans="2:8" ht="15.75">
      <c r="B164" s="139" t="s">
        <v>154</v>
      </c>
      <c r="C164" s="23"/>
      <c r="D164" s="23"/>
      <c r="E164" s="23"/>
      <c r="F164" s="23"/>
      <c r="G164" s="23"/>
      <c r="H164" s="23"/>
    </row>
    <row r="165" spans="2:8" ht="15.75">
      <c r="B165" s="139" t="s">
        <v>155</v>
      </c>
      <c r="C165" s="23"/>
      <c r="D165" s="23"/>
      <c r="E165" s="23"/>
      <c r="F165" s="23"/>
      <c r="G165" s="23"/>
      <c r="H165" s="23"/>
    </row>
    <row r="166" spans="2:8" ht="15.75">
      <c r="B166" s="139" t="s">
        <v>156</v>
      </c>
      <c r="C166" s="23"/>
      <c r="D166" s="23"/>
      <c r="E166" s="23"/>
      <c r="F166" s="23"/>
      <c r="G166" s="23"/>
      <c r="H166" s="23"/>
    </row>
    <row r="167" spans="2:8" ht="15.75">
      <c r="B167" s="139" t="s">
        <v>157</v>
      </c>
      <c r="C167" s="23"/>
      <c r="D167" s="23"/>
      <c r="E167" s="23"/>
      <c r="F167" s="23"/>
      <c r="G167" s="23"/>
      <c r="H167" s="23"/>
    </row>
    <row r="168" spans="2:8" ht="15.75">
      <c r="B168" s="140"/>
      <c r="C168" s="23"/>
      <c r="D168" s="23"/>
      <c r="E168" s="23"/>
      <c r="F168" s="23"/>
      <c r="G168" s="23"/>
      <c r="H168" s="23"/>
    </row>
    <row r="169" spans="2:8" ht="15.75">
      <c r="B169" s="138" t="s">
        <v>158</v>
      </c>
      <c r="C169" s="23"/>
      <c r="D169" s="23"/>
      <c r="E169" s="23"/>
      <c r="F169" s="23"/>
      <c r="G169" s="23"/>
      <c r="H169" s="23"/>
    </row>
    <row r="170" spans="2:8" ht="15.75">
      <c r="B170" s="139" t="s">
        <v>159</v>
      </c>
      <c r="C170" s="23"/>
      <c r="D170" s="23"/>
      <c r="E170" s="23"/>
      <c r="F170" s="23"/>
      <c r="G170" s="23"/>
      <c r="H170" s="23"/>
    </row>
    <row r="171" spans="2:8" ht="15.75">
      <c r="B171" s="139" t="s">
        <v>160</v>
      </c>
      <c r="C171" s="23"/>
      <c r="D171" s="23"/>
      <c r="E171" s="23"/>
      <c r="F171" s="23"/>
      <c r="G171" s="23"/>
      <c r="H171" s="23"/>
    </row>
    <row r="172" spans="2:8" ht="15.75">
      <c r="B172" s="139" t="s">
        <v>161</v>
      </c>
      <c r="C172" s="23"/>
      <c r="D172" s="23"/>
      <c r="E172" s="23"/>
      <c r="F172" s="23"/>
      <c r="G172" s="23"/>
      <c r="H172" s="23"/>
    </row>
    <row r="173" spans="2:8" ht="15.75">
      <c r="B173" s="139" t="s">
        <v>162</v>
      </c>
      <c r="C173" s="23"/>
      <c r="D173" s="23"/>
      <c r="E173" s="23"/>
      <c r="F173" s="23"/>
      <c r="G173" s="23"/>
      <c r="H173" s="23"/>
    </row>
    <row r="174" spans="2:8" ht="15.75">
      <c r="B174" s="139" t="s">
        <v>163</v>
      </c>
      <c r="C174" s="23"/>
      <c r="D174" s="23"/>
      <c r="E174" s="23"/>
      <c r="F174" s="23"/>
      <c r="G174" s="23"/>
      <c r="H174" s="23"/>
    </row>
    <row r="175" spans="2:8">
      <c r="B175" s="36"/>
      <c r="C175" s="23"/>
      <c r="D175" s="23"/>
      <c r="E175" s="23"/>
      <c r="F175" s="23"/>
      <c r="G175" s="23"/>
      <c r="H175" s="23"/>
    </row>
    <row r="176" spans="2:8" ht="22.5">
      <c r="B176" s="12" t="s">
        <v>164</v>
      </c>
      <c r="C176" s="12"/>
      <c r="D176" s="12"/>
      <c r="E176" s="12"/>
      <c r="F176" s="23"/>
      <c r="G176" s="23"/>
      <c r="H176" s="23"/>
    </row>
    <row r="177" spans="2:8">
      <c r="B177" s="36"/>
      <c r="C177" s="23"/>
      <c r="D177" s="23"/>
      <c r="E177" s="23"/>
      <c r="F177" s="23"/>
      <c r="G177" s="23"/>
      <c r="H177" s="23"/>
    </row>
    <row r="178" spans="2:8" ht="40.5" customHeight="1">
      <c r="B178" s="141" t="s">
        <v>165</v>
      </c>
      <c r="C178" s="141"/>
      <c r="D178" s="141"/>
      <c r="E178" s="141"/>
      <c r="F178" s="141"/>
      <c r="G178" s="141"/>
      <c r="H178" s="141"/>
    </row>
    <row r="179" spans="2:8" ht="15.75">
      <c r="B179" s="140"/>
      <c r="C179" s="142"/>
      <c r="D179" s="142"/>
      <c r="E179" s="142"/>
      <c r="F179" s="142"/>
      <c r="G179" s="142"/>
      <c r="H179" s="142"/>
    </row>
    <row r="180" spans="2:8" ht="15.75">
      <c r="B180" s="143" t="s">
        <v>166</v>
      </c>
      <c r="C180" s="142"/>
      <c r="D180" s="142"/>
      <c r="E180" s="142"/>
      <c r="F180" s="142"/>
      <c r="G180" s="142"/>
      <c r="H180" s="142"/>
    </row>
    <row r="181" spans="2:8" ht="15.75">
      <c r="B181" s="144" t="s">
        <v>167</v>
      </c>
      <c r="C181" s="145"/>
      <c r="D181" s="145"/>
      <c r="E181" s="145"/>
      <c r="F181" s="145"/>
      <c r="G181" s="145"/>
      <c r="H181" s="145"/>
    </row>
    <row r="182" spans="2:8" ht="15.75">
      <c r="B182" s="144" t="s">
        <v>168</v>
      </c>
      <c r="C182" s="146"/>
      <c r="D182" s="146"/>
      <c r="E182" s="146"/>
      <c r="F182" s="146"/>
      <c r="G182" s="146"/>
      <c r="H182" s="146"/>
    </row>
    <row r="183" spans="2:8" ht="15.75">
      <c r="B183" s="144" t="s">
        <v>169</v>
      </c>
      <c r="C183" s="146"/>
      <c r="D183" s="146"/>
      <c r="E183" s="146"/>
      <c r="F183" s="146"/>
      <c r="G183" s="146"/>
      <c r="H183" s="146"/>
    </row>
    <row r="184" spans="2:8" ht="15.75">
      <c r="B184" s="148"/>
      <c r="C184" s="146"/>
      <c r="D184" s="146"/>
      <c r="E184" s="146"/>
      <c r="F184" s="146"/>
      <c r="G184" s="146"/>
      <c r="H184" s="146"/>
    </row>
    <row r="185" spans="2:8" ht="15.75">
      <c r="B185" s="149" t="s">
        <v>221</v>
      </c>
      <c r="C185" s="146"/>
      <c r="D185" s="146"/>
      <c r="E185" s="146"/>
      <c r="F185" s="146"/>
      <c r="G185" s="146"/>
      <c r="H185" s="146"/>
    </row>
    <row r="186" spans="2:8" ht="15.75">
      <c r="B186" s="148"/>
      <c r="C186" s="146"/>
      <c r="D186" s="146"/>
      <c r="E186" s="146"/>
      <c r="F186" s="146"/>
      <c r="G186" s="146"/>
      <c r="H186" s="146"/>
    </row>
    <row r="187" spans="2:8" ht="15.75">
      <c r="B187" s="141" t="s">
        <v>222</v>
      </c>
      <c r="C187" s="141"/>
      <c r="D187" s="141"/>
      <c r="E187" s="141"/>
      <c r="F187" s="141"/>
      <c r="G187" s="141"/>
      <c r="H187" s="141"/>
    </row>
    <row r="188" spans="2:8" ht="15.75">
      <c r="B188" s="150" t="s">
        <v>223</v>
      </c>
      <c r="C188" s="146"/>
      <c r="D188" s="146"/>
      <c r="E188" s="146"/>
      <c r="F188" s="146"/>
      <c r="G188" s="146"/>
      <c r="H188" s="146"/>
    </row>
    <row r="189" spans="2:8" ht="15.75">
      <c r="B189" s="151" t="s">
        <v>224</v>
      </c>
      <c r="C189" s="146"/>
      <c r="D189" s="146"/>
      <c r="E189" s="146"/>
      <c r="F189" s="146"/>
      <c r="G189" s="146"/>
      <c r="H189" s="146"/>
    </row>
    <row r="190" spans="2:8" ht="21" customHeight="1">
      <c r="B190" s="151" t="s">
        <v>225</v>
      </c>
      <c r="C190" s="146"/>
      <c r="D190" s="146"/>
      <c r="E190" s="146"/>
      <c r="F190" s="146"/>
      <c r="G190" s="146"/>
      <c r="H190" s="146"/>
    </row>
    <row r="191" spans="2:8" ht="22.5" customHeight="1">
      <c r="B191" s="152" t="s">
        <v>226</v>
      </c>
      <c r="C191" s="152"/>
      <c r="D191" s="152"/>
      <c r="E191" s="152"/>
      <c r="F191" s="152"/>
      <c r="G191" s="152"/>
      <c r="H191" s="152"/>
    </row>
  </sheetData>
  <mergeCells count="12">
    <mergeCell ref="B178:H178"/>
    <mergeCell ref="B187:H187"/>
    <mergeCell ref="B191:H191"/>
    <mergeCell ref="D24:F24"/>
    <mergeCell ref="D25:F25"/>
    <mergeCell ref="D26:F26"/>
    <mergeCell ref="D18:F18"/>
    <mergeCell ref="D19:F19"/>
    <mergeCell ref="D20:F20"/>
    <mergeCell ref="D21:F21"/>
    <mergeCell ref="D22:F22"/>
    <mergeCell ref="D23:F23"/>
  </mergeCells>
  <dataValidations disablePrompts="1" count="1">
    <dataValidation type="list" allowBlank="1" showInputMessage="1" showErrorMessage="1" sqref="C75" xr:uid="{26E05FBA-3393-4B3E-913F-BA4F8ABC499B}">
      <formula1>$B$76:$B$78</formula1>
    </dataValidation>
  </dataValidations>
  <pageMargins left="0.7" right="0.7" top="0.75" bottom="0.75" header="0.3" footer="0.3"/>
  <ignoredErrors>
    <ignoredError sqref="C37:G37" formulaRange="1"/>
    <ignoredError sqref="C87:G8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3743-1E85-4D05-904D-556ED1D66192}">
  <sheetPr>
    <pageSetUpPr fitToPage="1"/>
  </sheetPr>
  <dimension ref="B1:S45"/>
  <sheetViews>
    <sheetView showGridLines="0" topLeftCell="A25" zoomScale="104" zoomScaleNormal="112" zoomScaleSheetLayoutView="115" workbookViewId="0">
      <selection activeCell="E9" sqref="E9"/>
    </sheetView>
  </sheetViews>
  <sheetFormatPr defaultColWidth="7.875" defaultRowHeight="21.6" customHeight="1" zeroHeight="1" outlineLevelRow="1"/>
  <cols>
    <col min="1" max="1" width="1.5" style="74" customWidth="1"/>
    <col min="2" max="2" width="29.875" style="74" customWidth="1"/>
    <col min="3" max="3" width="10.5" style="96" bestFit="1" customWidth="1"/>
    <col min="4" max="4" width="7.75" style="96" bestFit="1" customWidth="1"/>
    <col min="5" max="5" width="10.75" style="96" bestFit="1" customWidth="1"/>
    <col min="6" max="6" width="11.625" style="96" bestFit="1" customWidth="1"/>
    <col min="7" max="7" width="8.25" style="96" bestFit="1" customWidth="1"/>
    <col min="8" max="8" width="12.5" style="96" bestFit="1" customWidth="1"/>
    <col min="9" max="10" width="9.5" style="96" bestFit="1" customWidth="1"/>
    <col min="11" max="11" width="11.75" style="96" bestFit="1" customWidth="1"/>
    <col min="12" max="12" width="10" style="96" bestFit="1" customWidth="1"/>
    <col min="13" max="13" width="8.25" style="96" bestFit="1" customWidth="1"/>
    <col min="14" max="14" width="10.125" style="74" bestFit="1" customWidth="1"/>
    <col min="15" max="15" width="6.375" style="74" bestFit="1" customWidth="1"/>
    <col min="16" max="16" width="7.875" style="74"/>
    <col min="17" max="17" width="8.5" style="74" bestFit="1" customWidth="1"/>
    <col min="18" max="18" width="10" style="74" bestFit="1" customWidth="1"/>
    <col min="19" max="16384" width="7.875" style="74"/>
  </cols>
  <sheetData>
    <row r="1" spans="2:15" ht="48">
      <c r="B1" s="107" t="s">
        <v>113</v>
      </c>
      <c r="C1" s="72"/>
      <c r="D1" s="79"/>
      <c r="E1" s="79"/>
      <c r="F1" s="79"/>
      <c r="G1" s="79"/>
    </row>
    <row r="2" spans="2:15" ht="24">
      <c r="B2" s="106" t="s">
        <v>220</v>
      </c>
      <c r="C2" s="72"/>
      <c r="D2" s="79"/>
      <c r="E2" s="79"/>
      <c r="F2" s="79"/>
      <c r="G2" s="79"/>
    </row>
    <row r="3" spans="2:15" ht="15">
      <c r="B3" s="77"/>
      <c r="C3" s="77"/>
      <c r="D3" s="77"/>
      <c r="E3" s="77"/>
      <c r="F3" s="77"/>
      <c r="G3" s="77"/>
      <c r="H3" s="77"/>
      <c r="I3" s="77"/>
      <c r="J3" s="77"/>
      <c r="K3" s="77"/>
      <c r="L3" s="77"/>
      <c r="M3" s="77"/>
    </row>
    <row r="4" spans="2:15" ht="15">
      <c r="B4" s="77"/>
      <c r="C4" s="77"/>
      <c r="D4" s="78"/>
      <c r="E4" s="78"/>
      <c r="F4" s="78"/>
      <c r="G4" s="78"/>
      <c r="H4" s="78"/>
      <c r="I4" s="78"/>
      <c r="J4" s="78"/>
      <c r="K4" s="78"/>
      <c r="L4" s="78"/>
      <c r="M4" s="78"/>
    </row>
    <row r="5" spans="2:15" ht="14.25"/>
    <row r="6" spans="2:15" ht="22.5">
      <c r="B6" s="75" t="s">
        <v>170</v>
      </c>
      <c r="C6" s="76"/>
      <c r="D6" s="76"/>
      <c r="E6" s="76"/>
      <c r="F6" s="75"/>
      <c r="G6" s="76"/>
      <c r="H6" s="76"/>
      <c r="I6" s="76"/>
      <c r="J6" s="75"/>
      <c r="K6" s="76"/>
      <c r="L6" s="76"/>
      <c r="M6" s="76"/>
    </row>
    <row r="7" spans="2:15" ht="11.85" customHeight="1" outlineLevel="1" thickBot="1">
      <c r="C7" s="74"/>
      <c r="D7" s="74"/>
      <c r="E7" s="74"/>
      <c r="F7" s="74"/>
      <c r="G7" s="74"/>
      <c r="H7" s="74"/>
      <c r="I7" s="74"/>
      <c r="J7" s="74"/>
      <c r="K7" s="74"/>
      <c r="L7" s="74"/>
      <c r="M7" s="74"/>
    </row>
    <row r="8" spans="2:15" ht="43.5" outlineLevel="1" thickBot="1">
      <c r="B8" s="85" t="s">
        <v>171</v>
      </c>
      <c r="C8" s="86" t="s">
        <v>172</v>
      </c>
      <c r="D8" s="86" t="s">
        <v>173</v>
      </c>
      <c r="E8" s="86" t="s">
        <v>119</v>
      </c>
      <c r="F8" s="86" t="s">
        <v>12</v>
      </c>
      <c r="G8" s="86" t="s">
        <v>86</v>
      </c>
      <c r="H8" s="86" t="s">
        <v>174</v>
      </c>
      <c r="I8" s="86" t="s">
        <v>175</v>
      </c>
      <c r="J8" s="86" t="s">
        <v>120</v>
      </c>
      <c r="K8" s="87" t="s">
        <v>176</v>
      </c>
      <c r="L8" s="86" t="s">
        <v>177</v>
      </c>
      <c r="M8" s="88" t="s">
        <v>178</v>
      </c>
    </row>
    <row r="9" spans="2:15" ht="15" outlineLevel="1" thickBot="1">
      <c r="B9" s="80" t="s">
        <v>179</v>
      </c>
      <c r="C9" s="81" t="s">
        <v>180</v>
      </c>
      <c r="D9" s="81">
        <v>4791</v>
      </c>
      <c r="E9" s="81">
        <v>170282</v>
      </c>
      <c r="F9" s="81">
        <v>17135</v>
      </c>
      <c r="G9" s="81">
        <v>9270</v>
      </c>
      <c r="H9" s="81">
        <v>1448</v>
      </c>
      <c r="I9" s="82">
        <v>0.79</v>
      </c>
      <c r="J9" s="81">
        <v>2237</v>
      </c>
      <c r="K9" s="81">
        <v>973</v>
      </c>
      <c r="L9" s="81">
        <v>110.1</v>
      </c>
      <c r="M9" s="81">
        <v>102.3</v>
      </c>
    </row>
    <row r="10" spans="2:15" ht="15" outlineLevel="1" thickBot="1">
      <c r="B10" s="80" t="s">
        <v>181</v>
      </c>
      <c r="C10" s="81" t="s">
        <v>182</v>
      </c>
      <c r="D10" s="81">
        <v>4274</v>
      </c>
      <c r="E10" s="81">
        <v>278260</v>
      </c>
      <c r="F10" s="81">
        <v>59358</v>
      </c>
      <c r="G10" s="81">
        <v>22940</v>
      </c>
      <c r="H10" s="81">
        <v>2707</v>
      </c>
      <c r="I10" s="82">
        <v>0.63</v>
      </c>
      <c r="J10" s="81">
        <v>1609</v>
      </c>
      <c r="K10" s="81">
        <v>210</v>
      </c>
      <c r="L10" s="81">
        <v>101.3</v>
      </c>
      <c r="M10" s="81">
        <v>93.4</v>
      </c>
    </row>
    <row r="11" spans="2:15" ht="15" outlineLevel="1" thickBot="1">
      <c r="B11" s="80" t="s">
        <v>183</v>
      </c>
      <c r="C11" s="81" t="s">
        <v>184</v>
      </c>
      <c r="D11" s="81">
        <v>148</v>
      </c>
      <c r="E11" s="81">
        <v>69155</v>
      </c>
      <c r="F11" s="81">
        <v>10716</v>
      </c>
      <c r="G11" s="81">
        <v>2730</v>
      </c>
      <c r="H11" s="81">
        <v>632</v>
      </c>
      <c r="I11" s="82">
        <v>0.92</v>
      </c>
      <c r="J11" s="81">
        <v>1093</v>
      </c>
      <c r="K11" s="81">
        <v>986</v>
      </c>
      <c r="L11" s="81">
        <v>109.6</v>
      </c>
      <c r="M11" s="81">
        <v>133.4</v>
      </c>
    </row>
    <row r="12" spans="2:15" ht="15" outlineLevel="1" thickBot="1">
      <c r="B12" s="80" t="s">
        <v>185</v>
      </c>
      <c r="C12" s="81" t="s">
        <v>186</v>
      </c>
      <c r="D12" s="81">
        <v>139</v>
      </c>
      <c r="E12" s="81">
        <v>16959</v>
      </c>
      <c r="F12" s="81">
        <v>7830</v>
      </c>
      <c r="G12" s="81">
        <v>820</v>
      </c>
      <c r="H12" s="81">
        <v>59.6</v>
      </c>
      <c r="I12" s="82">
        <v>0.88</v>
      </c>
      <c r="J12" s="81">
        <v>512</v>
      </c>
      <c r="K12" s="81">
        <v>407</v>
      </c>
      <c r="L12" s="81">
        <v>283.5</v>
      </c>
      <c r="M12" s="81">
        <v>123</v>
      </c>
    </row>
    <row r="13" spans="2:15" ht="15" customHeight="1" outlineLevel="1" thickBot="1">
      <c r="B13" s="80" t="s">
        <v>187</v>
      </c>
      <c r="C13" s="81" t="s">
        <v>188</v>
      </c>
      <c r="D13" s="81">
        <v>688</v>
      </c>
      <c r="E13" s="81">
        <v>16720</v>
      </c>
      <c r="F13" s="81">
        <v>1386</v>
      </c>
      <c r="G13" s="81">
        <v>610</v>
      </c>
      <c r="H13" s="81">
        <v>388</v>
      </c>
      <c r="I13" s="82">
        <v>0.55000000000000004</v>
      </c>
      <c r="J13" s="81">
        <v>483</v>
      </c>
      <c r="K13" s="81">
        <v>726</v>
      </c>
      <c r="L13" s="81">
        <v>42.3</v>
      </c>
      <c r="M13" s="81">
        <v>87.9</v>
      </c>
    </row>
    <row r="14" spans="2:15" ht="14.25"/>
    <row r="15" spans="2:15" ht="22.5">
      <c r="B15" s="75" t="s">
        <v>189</v>
      </c>
      <c r="C15" s="76"/>
      <c r="D15" s="76"/>
      <c r="E15" s="76"/>
      <c r="F15" s="75"/>
      <c r="G15" s="76"/>
      <c r="H15" s="76"/>
      <c r="I15" s="76"/>
      <c r="J15" s="75"/>
      <c r="K15" s="76"/>
      <c r="L15" s="76"/>
      <c r="M15" s="76"/>
    </row>
    <row r="16" spans="2:15" ht="16.5" outlineLevel="1" thickBot="1">
      <c r="B16" s="97"/>
      <c r="C16" s="97"/>
      <c r="D16" s="97"/>
      <c r="E16" s="97"/>
      <c r="F16" s="97"/>
      <c r="G16" s="97"/>
      <c r="H16" s="97"/>
      <c r="I16" s="97"/>
      <c r="J16" s="97"/>
      <c r="K16" s="97"/>
      <c r="L16" s="97"/>
      <c r="M16" s="97"/>
      <c r="N16" s="97"/>
      <c r="O16" s="97"/>
    </row>
    <row r="17" spans="2:15" ht="14.25" outlineLevel="1">
      <c r="B17" s="83"/>
      <c r="C17" s="89" t="s">
        <v>190</v>
      </c>
      <c r="D17" s="89" t="s">
        <v>191</v>
      </c>
      <c r="E17" s="89" t="s">
        <v>192</v>
      </c>
      <c r="F17" s="89" t="s">
        <v>192</v>
      </c>
      <c r="G17" s="89" t="s">
        <v>24</v>
      </c>
      <c r="H17" s="89" t="s">
        <v>193</v>
      </c>
      <c r="I17" s="90" t="s">
        <v>194</v>
      </c>
      <c r="K17" s="74"/>
      <c r="L17" s="74"/>
      <c r="M17" s="74"/>
    </row>
    <row r="18" spans="2:15" ht="15" outlineLevel="1" thickBot="1">
      <c r="B18" s="84" t="s">
        <v>195</v>
      </c>
      <c r="C18" s="91" t="s">
        <v>62</v>
      </c>
      <c r="D18" s="91" t="s">
        <v>196</v>
      </c>
      <c r="E18" s="91" t="s">
        <v>190</v>
      </c>
      <c r="F18" s="91" t="s">
        <v>197</v>
      </c>
      <c r="G18" s="91" t="s">
        <v>198</v>
      </c>
      <c r="H18" s="91" t="s">
        <v>175</v>
      </c>
      <c r="I18" s="92" t="s">
        <v>175</v>
      </c>
      <c r="J18" s="74"/>
      <c r="K18" s="74"/>
      <c r="L18" s="74"/>
      <c r="M18" s="74"/>
    </row>
    <row r="19" spans="2:15" ht="15" outlineLevel="1" thickBot="1">
      <c r="B19" s="80" t="str">
        <f>B10</f>
        <v>Avenue Supermarts (DMART)</v>
      </c>
      <c r="C19" s="81">
        <f t="shared" ref="C19:C22" si="0">E10</f>
        <v>278260</v>
      </c>
      <c r="D19" s="81">
        <f t="shared" ref="D19:D22" si="1">J10</f>
        <v>1609</v>
      </c>
      <c r="E19" s="93">
        <f t="shared" ref="E19:E22" si="2">D19/C19</f>
        <v>5.7823618198806874E-3</v>
      </c>
      <c r="F19" s="93">
        <f t="shared" ref="F19:F22" si="3">D19/(C19+D19)</f>
        <v>5.7491183375079054E-3</v>
      </c>
      <c r="G19" s="93">
        <f>Tax_rate</f>
        <v>0.25</v>
      </c>
      <c r="H19" s="82">
        <f>I10</f>
        <v>0.63</v>
      </c>
      <c r="I19" s="82">
        <f>H19/(1+E19*(1-Tax_rate))</f>
        <v>0.62727963165564415</v>
      </c>
      <c r="J19" s="74"/>
      <c r="K19" s="74"/>
      <c r="L19" s="74"/>
      <c r="M19" s="74"/>
    </row>
    <row r="20" spans="2:15" ht="15" outlineLevel="1" thickBot="1">
      <c r="B20" s="80" t="str">
        <f>B11</f>
        <v>Vishal Mega Mart</v>
      </c>
      <c r="C20" s="81">
        <f t="shared" si="0"/>
        <v>69155</v>
      </c>
      <c r="D20" s="81">
        <f t="shared" si="1"/>
        <v>1093</v>
      </c>
      <c r="E20" s="93">
        <f t="shared" si="2"/>
        <v>1.5805075554912878E-2</v>
      </c>
      <c r="F20" s="93">
        <f t="shared" si="3"/>
        <v>1.5559161826671221E-2</v>
      </c>
      <c r="G20" s="93">
        <f>Tax_rate</f>
        <v>0.25</v>
      </c>
      <c r="H20" s="82">
        <f t="shared" ref="H20:H22" si="4">I11</f>
        <v>0.92</v>
      </c>
      <c r="I20" s="82">
        <f>H20/(1+E20*(1-Tax_rate))</f>
        <v>0.90922225517061517</v>
      </c>
      <c r="J20" s="74"/>
      <c r="K20" s="74"/>
      <c r="L20" s="74"/>
      <c r="M20" s="74"/>
    </row>
    <row r="21" spans="2:15" ht="15" outlineLevel="1" thickBot="1">
      <c r="B21" s="80" t="str">
        <f>B12</f>
        <v>Aditya Birla Lifestyle Brands</v>
      </c>
      <c r="C21" s="81">
        <f t="shared" si="0"/>
        <v>16959</v>
      </c>
      <c r="D21" s="81">
        <f t="shared" si="1"/>
        <v>512</v>
      </c>
      <c r="E21" s="93">
        <f t="shared" si="2"/>
        <v>3.0190459343121645E-2</v>
      </c>
      <c r="F21" s="93">
        <f t="shared" si="3"/>
        <v>2.9305706599507757E-2</v>
      </c>
      <c r="G21" s="93">
        <f>Tax_rate</f>
        <v>0.25</v>
      </c>
      <c r="H21" s="82">
        <f t="shared" si="4"/>
        <v>0.88</v>
      </c>
      <c r="I21" s="82">
        <f>H21/(1+E21*(1-Tax_rate))</f>
        <v>0.86051548175056225</v>
      </c>
      <c r="J21" s="74"/>
      <c r="K21" s="74"/>
      <c r="L21" s="74"/>
      <c r="M21" s="74"/>
    </row>
    <row r="22" spans="2:15" ht="15" outlineLevel="1" thickBot="1">
      <c r="B22" s="80" t="str">
        <f>B13</f>
        <v>Vedant Fashions (Manyavar)</v>
      </c>
      <c r="C22" s="81">
        <f t="shared" si="0"/>
        <v>16720</v>
      </c>
      <c r="D22" s="81">
        <f t="shared" si="1"/>
        <v>483</v>
      </c>
      <c r="E22" s="93">
        <f t="shared" si="2"/>
        <v>2.8887559808612441E-2</v>
      </c>
      <c r="F22" s="93">
        <f t="shared" si="3"/>
        <v>2.8076498285182817E-2</v>
      </c>
      <c r="G22" s="93">
        <f>Tax_rate</f>
        <v>0.25</v>
      </c>
      <c r="H22" s="82">
        <f t="shared" si="4"/>
        <v>0.55000000000000004</v>
      </c>
      <c r="I22" s="82">
        <f>H22/(1+E22*(1-Tax_rate))</f>
        <v>0.53833657744149643</v>
      </c>
      <c r="J22" s="74"/>
      <c r="K22" s="74"/>
      <c r="L22" s="74"/>
      <c r="M22" s="74"/>
    </row>
    <row r="23" spans="2:15" ht="15" outlineLevel="1" thickBot="1">
      <c r="B23" s="91" t="s">
        <v>199</v>
      </c>
      <c r="C23" s="91"/>
      <c r="D23" s="91"/>
      <c r="E23" s="95">
        <f t="shared" ref="E23:I23" si="5">AVERAGE(E19:E22)</f>
        <v>2.0166364131631913E-2</v>
      </c>
      <c r="F23" s="95">
        <f t="shared" si="5"/>
        <v>1.9672621262217426E-2</v>
      </c>
      <c r="G23" s="95">
        <f t="shared" si="5"/>
        <v>0.25</v>
      </c>
      <c r="H23" s="94">
        <f t="shared" si="5"/>
        <v>0.74500000000000011</v>
      </c>
      <c r="I23" s="94">
        <f t="shared" si="5"/>
        <v>0.7338384865045795</v>
      </c>
      <c r="J23" s="74"/>
      <c r="K23" s="74"/>
      <c r="L23" s="74"/>
      <c r="M23" s="74"/>
    </row>
    <row r="24" spans="2:15" ht="15" outlineLevel="1" thickBot="1">
      <c r="B24" s="91" t="s">
        <v>200</v>
      </c>
      <c r="C24" s="91"/>
      <c r="D24" s="91"/>
      <c r="E24" s="95">
        <f t="shared" ref="E24:I24" si="6">MEDIAN(E19:E22)</f>
        <v>2.2346317681762658E-2</v>
      </c>
      <c r="F24" s="95">
        <f t="shared" si="6"/>
        <v>2.181783005592702E-2</v>
      </c>
      <c r="G24" s="95">
        <f t="shared" si="6"/>
        <v>0.25</v>
      </c>
      <c r="H24" s="94">
        <f t="shared" si="6"/>
        <v>0.755</v>
      </c>
      <c r="I24" s="94">
        <f t="shared" si="6"/>
        <v>0.7438975567031032</v>
      </c>
      <c r="J24" s="74"/>
      <c r="K24" s="74"/>
      <c r="L24" s="74"/>
      <c r="M24" s="74"/>
    </row>
    <row r="25" spans="2:15" ht="15.75">
      <c r="B25" s="97"/>
      <c r="C25" s="97"/>
      <c r="D25" s="97"/>
      <c r="E25" s="97"/>
      <c r="F25" s="97"/>
      <c r="G25" s="98"/>
      <c r="H25" s="97"/>
      <c r="I25" s="97"/>
      <c r="J25" s="97"/>
      <c r="K25" s="97"/>
      <c r="L25" s="97"/>
      <c r="M25" s="74"/>
    </row>
    <row r="26" spans="2:15" ht="22.5">
      <c r="B26" s="75" t="s">
        <v>201</v>
      </c>
      <c r="C26" s="76"/>
      <c r="D26" s="76"/>
      <c r="E26" s="76"/>
      <c r="F26" s="75"/>
      <c r="G26" s="76"/>
      <c r="H26" s="76"/>
      <c r="I26" s="76"/>
      <c r="J26" s="75"/>
      <c r="K26" s="76"/>
      <c r="L26" s="76"/>
      <c r="M26" s="76"/>
    </row>
    <row r="27" spans="2:15" ht="15.75" outlineLevel="1">
      <c r="B27" s="97"/>
      <c r="C27" s="97"/>
      <c r="D27" s="97"/>
      <c r="E27" s="97"/>
      <c r="F27" s="97"/>
      <c r="G27" s="98"/>
      <c r="H27" s="97"/>
      <c r="I27" s="97"/>
      <c r="J27" s="97"/>
      <c r="K27" s="97"/>
      <c r="L27" s="97"/>
      <c r="M27" s="74"/>
    </row>
    <row r="28" spans="2:15" ht="14.25" outlineLevel="1">
      <c r="B28" s="109"/>
      <c r="C28" s="110"/>
      <c r="D28" s="147" t="s">
        <v>202</v>
      </c>
      <c r="E28" s="147"/>
      <c r="F28" s="147"/>
      <c r="G28" s="147"/>
      <c r="H28" s="147"/>
      <c r="I28" s="147"/>
      <c r="J28" s="147" t="s">
        <v>203</v>
      </c>
      <c r="K28" s="147"/>
      <c r="L28" s="147"/>
      <c r="M28" s="147" t="s">
        <v>204</v>
      </c>
      <c r="N28" s="147"/>
      <c r="O28" s="147"/>
    </row>
    <row r="29" spans="2:15" ht="14.25" outlineLevel="1">
      <c r="B29" s="109"/>
      <c r="C29" s="108"/>
      <c r="D29" s="108" t="s">
        <v>173</v>
      </c>
      <c r="E29" s="108" t="s">
        <v>205</v>
      </c>
      <c r="F29" s="108" t="s">
        <v>119</v>
      </c>
      <c r="G29" s="108" t="s">
        <v>196</v>
      </c>
      <c r="H29" s="108" t="s">
        <v>206</v>
      </c>
      <c r="I29" s="108" t="s">
        <v>207</v>
      </c>
      <c r="J29" s="108" t="s">
        <v>12</v>
      </c>
      <c r="K29" s="108" t="s">
        <v>86</v>
      </c>
      <c r="L29" s="108" t="s">
        <v>208</v>
      </c>
      <c r="M29" s="108" t="s">
        <v>209</v>
      </c>
      <c r="N29" s="108" t="s">
        <v>177</v>
      </c>
      <c r="O29" s="108" t="s">
        <v>178</v>
      </c>
    </row>
    <row r="30" spans="2:15" ht="16.5" outlineLevel="1" thickBot="1">
      <c r="B30" s="84" t="s">
        <v>195</v>
      </c>
      <c r="C30" s="91" t="s">
        <v>172</v>
      </c>
      <c r="D30" s="91" t="s">
        <v>210</v>
      </c>
      <c r="E30" s="91" t="s">
        <v>211</v>
      </c>
      <c r="F30" s="91" t="s">
        <v>212</v>
      </c>
      <c r="G30" s="91" t="s">
        <v>212</v>
      </c>
      <c r="H30" s="91" t="s">
        <v>213</v>
      </c>
      <c r="I30" s="91" t="s">
        <v>212</v>
      </c>
      <c r="J30" s="91" t="s">
        <v>212</v>
      </c>
      <c r="K30" s="91" t="s">
        <v>212</v>
      </c>
      <c r="L30" s="91" t="s">
        <v>212</v>
      </c>
      <c r="M30" s="91" t="s">
        <v>214</v>
      </c>
      <c r="N30" s="91" t="s">
        <v>214</v>
      </c>
      <c r="O30" s="91" t="s">
        <v>214</v>
      </c>
    </row>
    <row r="31" spans="2:15" ht="15" outlineLevel="1" thickBot="1">
      <c r="B31" s="80" t="str">
        <f t="shared" ref="B31:D34" si="7">B10</f>
        <v>Avenue Supermarts (DMART)</v>
      </c>
      <c r="C31" s="80" t="str">
        <f t="shared" si="7"/>
        <v>DMART</v>
      </c>
      <c r="D31" s="81">
        <f t="shared" si="7"/>
        <v>4274</v>
      </c>
      <c r="E31" s="81">
        <f t="shared" ref="E31:E34" si="8">F31/D31</f>
        <v>65.105287786616756</v>
      </c>
      <c r="F31" s="81">
        <f t="shared" ref="F31:F34" si="9">E10</f>
        <v>278260</v>
      </c>
      <c r="G31" s="81">
        <f t="shared" ref="G31:H34" si="10">J10</f>
        <v>1609</v>
      </c>
      <c r="H31" s="81">
        <f t="shared" si="10"/>
        <v>210</v>
      </c>
      <c r="I31" s="81">
        <f>F31+G31-H31</f>
        <v>279659</v>
      </c>
      <c r="J31" s="81">
        <f t="shared" ref="J31:L34" si="11">F10</f>
        <v>59358</v>
      </c>
      <c r="K31" s="81">
        <f t="shared" si="11"/>
        <v>22940</v>
      </c>
      <c r="L31" s="81">
        <f t="shared" si="11"/>
        <v>2707</v>
      </c>
      <c r="M31" s="112">
        <f>I31/J31</f>
        <v>4.7113952626436202</v>
      </c>
      <c r="N31" s="112">
        <f>I31/K31</f>
        <v>12.190889276373147</v>
      </c>
      <c r="O31" s="112">
        <f>F31/L31</f>
        <v>102.79275951237533</v>
      </c>
    </row>
    <row r="32" spans="2:15" ht="15" outlineLevel="1" thickBot="1">
      <c r="B32" s="80" t="str">
        <f t="shared" si="7"/>
        <v>Vishal Mega Mart</v>
      </c>
      <c r="C32" s="80" t="str">
        <f t="shared" si="7"/>
        <v>VMM</v>
      </c>
      <c r="D32" s="81">
        <f t="shared" si="7"/>
        <v>148</v>
      </c>
      <c r="E32" s="81">
        <f t="shared" si="8"/>
        <v>467.26351351351349</v>
      </c>
      <c r="F32" s="81">
        <f t="shared" si="9"/>
        <v>69155</v>
      </c>
      <c r="G32" s="81">
        <f t="shared" si="10"/>
        <v>1093</v>
      </c>
      <c r="H32" s="81">
        <f t="shared" si="10"/>
        <v>986</v>
      </c>
      <c r="I32" s="81">
        <f t="shared" ref="I32:I34" si="12">F32+G32-H32</f>
        <v>69262</v>
      </c>
      <c r="J32" s="81">
        <f t="shared" si="11"/>
        <v>10716</v>
      </c>
      <c r="K32" s="81">
        <f t="shared" si="11"/>
        <v>2730</v>
      </c>
      <c r="L32" s="81">
        <f t="shared" si="11"/>
        <v>632</v>
      </c>
      <c r="M32" s="112">
        <f t="shared" ref="M32:M34" si="13">I32/J32</f>
        <v>6.4634191862635308</v>
      </c>
      <c r="N32" s="112">
        <f t="shared" ref="N32:N34" si="14">I32/K32</f>
        <v>25.370695970695969</v>
      </c>
      <c r="O32" s="112">
        <f t="shared" ref="O32:O34" si="15">F32/L32</f>
        <v>109.42246835443038</v>
      </c>
    </row>
    <row r="33" spans="2:19" ht="15" outlineLevel="1" thickBot="1">
      <c r="B33" s="80" t="str">
        <f t="shared" si="7"/>
        <v>Aditya Birla Lifestyle Brands</v>
      </c>
      <c r="C33" s="80" t="str">
        <f t="shared" si="7"/>
        <v>ABLBL</v>
      </c>
      <c r="D33" s="81">
        <f t="shared" si="7"/>
        <v>139</v>
      </c>
      <c r="E33" s="81">
        <f t="shared" si="8"/>
        <v>122.00719424460432</v>
      </c>
      <c r="F33" s="81">
        <f t="shared" si="9"/>
        <v>16959</v>
      </c>
      <c r="G33" s="81">
        <f t="shared" si="10"/>
        <v>512</v>
      </c>
      <c r="H33" s="81">
        <f t="shared" si="10"/>
        <v>407</v>
      </c>
      <c r="I33" s="81">
        <f t="shared" si="12"/>
        <v>17064</v>
      </c>
      <c r="J33" s="81">
        <f t="shared" si="11"/>
        <v>7830</v>
      </c>
      <c r="K33" s="81">
        <f t="shared" si="11"/>
        <v>820</v>
      </c>
      <c r="L33" s="81">
        <f t="shared" si="11"/>
        <v>59.6</v>
      </c>
      <c r="M33" s="112">
        <f t="shared" si="13"/>
        <v>2.1793103448275861</v>
      </c>
      <c r="N33" s="112">
        <f t="shared" si="14"/>
        <v>20.809756097560975</v>
      </c>
      <c r="O33" s="112">
        <f t="shared" si="15"/>
        <v>284.54697986577179</v>
      </c>
    </row>
    <row r="34" spans="2:19" ht="15" outlineLevel="1" thickBot="1">
      <c r="B34" s="80" t="str">
        <f t="shared" si="7"/>
        <v>Vedant Fashions (Manyavar)</v>
      </c>
      <c r="C34" s="80" t="str">
        <f t="shared" si="7"/>
        <v>MANYAVAR</v>
      </c>
      <c r="D34" s="81">
        <f t="shared" si="7"/>
        <v>688</v>
      </c>
      <c r="E34" s="81">
        <f t="shared" si="8"/>
        <v>24.302325581395348</v>
      </c>
      <c r="F34" s="81">
        <f t="shared" si="9"/>
        <v>16720</v>
      </c>
      <c r="G34" s="81">
        <f t="shared" si="10"/>
        <v>483</v>
      </c>
      <c r="H34" s="81">
        <f t="shared" si="10"/>
        <v>726</v>
      </c>
      <c r="I34" s="81">
        <f t="shared" si="12"/>
        <v>16477</v>
      </c>
      <c r="J34" s="81">
        <f t="shared" si="11"/>
        <v>1386</v>
      </c>
      <c r="K34" s="81">
        <f t="shared" si="11"/>
        <v>610</v>
      </c>
      <c r="L34" s="81">
        <f t="shared" si="11"/>
        <v>388</v>
      </c>
      <c r="M34" s="112">
        <f t="shared" si="13"/>
        <v>11.888167388167389</v>
      </c>
      <c r="N34" s="112">
        <f t="shared" si="14"/>
        <v>27.011475409836066</v>
      </c>
      <c r="O34" s="112">
        <f t="shared" si="15"/>
        <v>43.092783505154642</v>
      </c>
    </row>
    <row r="35" spans="2:19" ht="15.75" outlineLevel="1">
      <c r="B35" s="73"/>
      <c r="C35" s="99"/>
      <c r="D35" s="99"/>
      <c r="E35" s="99"/>
      <c r="F35" s="103"/>
      <c r="G35" s="104"/>
      <c r="H35" s="100"/>
      <c r="I35" s="103"/>
      <c r="J35" s="103"/>
      <c r="K35" s="100"/>
      <c r="L35" s="105"/>
      <c r="M35" s="103"/>
      <c r="N35" s="103"/>
      <c r="O35" s="103"/>
      <c r="P35" s="101"/>
      <c r="Q35" s="102"/>
      <c r="R35" s="102"/>
      <c r="S35" s="102"/>
    </row>
    <row r="36" spans="2:19" ht="14.25" outlineLevel="1">
      <c r="B36" s="110" t="s">
        <v>199</v>
      </c>
      <c r="C36" s="110"/>
      <c r="D36" s="110"/>
      <c r="E36" s="110"/>
      <c r="F36" s="110"/>
      <c r="G36" s="110"/>
      <c r="H36" s="110"/>
      <c r="I36" s="110"/>
      <c r="J36" s="110"/>
      <c r="K36" s="110"/>
      <c r="L36" s="110"/>
      <c r="M36" s="113">
        <f t="shared" ref="M36:O36" si="16">AVERAGE(M31:M34)</f>
        <v>6.3105730454755316</v>
      </c>
      <c r="N36" s="113">
        <f t="shared" si="16"/>
        <v>21.345704188616541</v>
      </c>
      <c r="O36" s="113">
        <f t="shared" si="16"/>
        <v>134.96374780943304</v>
      </c>
    </row>
    <row r="37" spans="2:19" ht="14.25" outlineLevel="1">
      <c r="B37" s="110" t="s">
        <v>200</v>
      </c>
      <c r="C37" s="110"/>
      <c r="D37" s="110"/>
      <c r="E37" s="110"/>
      <c r="F37" s="110"/>
      <c r="G37" s="110"/>
      <c r="H37" s="110"/>
      <c r="I37" s="110"/>
      <c r="J37" s="110"/>
      <c r="K37" s="110"/>
      <c r="L37" s="110"/>
      <c r="M37" s="113">
        <f t="shared" ref="M37:O37" si="17">MEDIAN(M31:M34)</f>
        <v>5.5874072244535755</v>
      </c>
      <c r="N37" s="113">
        <f t="shared" si="17"/>
        <v>23.09022603412847</v>
      </c>
      <c r="O37" s="113">
        <f t="shared" si="17"/>
        <v>106.10761393340286</v>
      </c>
    </row>
    <row r="38" spans="2:19" ht="16.5" outlineLevel="1" thickBot="1">
      <c r="B38" s="99"/>
      <c r="C38" s="99"/>
      <c r="D38" s="99"/>
      <c r="E38" s="99"/>
      <c r="F38" s="99"/>
      <c r="G38" s="99"/>
      <c r="H38" s="99"/>
      <c r="I38" s="99"/>
      <c r="J38" s="99"/>
      <c r="K38" s="99"/>
      <c r="L38" s="99"/>
      <c r="M38" s="114"/>
      <c r="N38" s="114"/>
      <c r="O38" s="114"/>
      <c r="P38" s="99"/>
      <c r="Q38" s="99"/>
      <c r="R38" s="99"/>
      <c r="S38" s="99"/>
    </row>
    <row r="39" spans="2:19" ht="16.5" outlineLevel="1" thickBot="1">
      <c r="B39" s="80" t="str">
        <f>B9</f>
        <v>Trent Limited</v>
      </c>
      <c r="C39" s="80" t="str">
        <f>C9</f>
        <v>TRENT</v>
      </c>
      <c r="D39" s="81">
        <f>D9</f>
        <v>4791</v>
      </c>
      <c r="E39" s="81">
        <f>F39/D39</f>
        <v>35.542058025464414</v>
      </c>
      <c r="F39" s="81">
        <f>E9</f>
        <v>170282</v>
      </c>
      <c r="G39" s="81">
        <f>J9</f>
        <v>2237</v>
      </c>
      <c r="H39" s="81">
        <f>K9</f>
        <v>973</v>
      </c>
      <c r="I39" s="81">
        <f>F39+G39-H39</f>
        <v>171546</v>
      </c>
      <c r="J39" s="81">
        <f>F9</f>
        <v>17135</v>
      </c>
      <c r="K39" s="81">
        <f>G9</f>
        <v>9270</v>
      </c>
      <c r="L39" s="81">
        <f>H9</f>
        <v>1448</v>
      </c>
      <c r="M39" s="112">
        <f t="shared" ref="M39" si="18">I39/J39</f>
        <v>10.011438576014006</v>
      </c>
      <c r="N39" s="112">
        <f t="shared" ref="N39" si="19">I39/K39</f>
        <v>18.505501618122977</v>
      </c>
      <c r="O39" s="112">
        <f t="shared" ref="O39" si="20">F39/L39</f>
        <v>117.59806629834254</v>
      </c>
      <c r="P39" s="101"/>
      <c r="Q39" s="102"/>
      <c r="R39" s="102"/>
      <c r="S39" s="102"/>
    </row>
    <row r="40" spans="2:19" ht="15.75" outlineLevel="1">
      <c r="B40" s="99"/>
      <c r="C40" s="99"/>
      <c r="D40" s="99"/>
      <c r="E40" s="99"/>
      <c r="F40" s="99"/>
      <c r="G40" s="99"/>
      <c r="H40" s="99"/>
      <c r="I40" s="99"/>
      <c r="J40" s="99"/>
      <c r="K40" s="99"/>
      <c r="L40" s="99"/>
      <c r="M40" s="99"/>
      <c r="N40" s="99"/>
      <c r="O40" s="99"/>
      <c r="P40" s="99"/>
      <c r="Q40" s="99"/>
      <c r="R40" s="99"/>
      <c r="S40" s="99"/>
    </row>
    <row r="41" spans="2:19" ht="16.5" outlineLevel="1" thickBot="1">
      <c r="B41" s="110" t="s">
        <v>215</v>
      </c>
      <c r="C41" s="108" t="s">
        <v>216</v>
      </c>
      <c r="D41" s="108" t="s">
        <v>207</v>
      </c>
      <c r="E41" s="108" t="s">
        <v>217</v>
      </c>
      <c r="F41" s="108" t="s">
        <v>145</v>
      </c>
      <c r="G41" s="108" t="s">
        <v>205</v>
      </c>
      <c r="H41" s="108" t="s">
        <v>218</v>
      </c>
      <c r="I41" s="99"/>
      <c r="J41" s="99"/>
      <c r="K41" s="99"/>
      <c r="L41" s="99"/>
      <c r="M41" s="99"/>
      <c r="N41" s="99"/>
      <c r="O41" s="99"/>
      <c r="P41" s="99"/>
      <c r="Q41" s="99"/>
    </row>
    <row r="42" spans="2:19" ht="16.5" outlineLevel="1" thickBot="1">
      <c r="B42" s="80" t="s">
        <v>209</v>
      </c>
      <c r="C42" s="111">
        <f t="array" ref="C42:C44">TRANSPOSE(M37:O37)</f>
        <v>5.5874072244535755</v>
      </c>
      <c r="D42" s="81">
        <f>J39*C42</f>
        <v>95740.222791012013</v>
      </c>
      <c r="E42" s="81">
        <f t="shared" ref="E42:E44" si="21">$G$39-$H$39</f>
        <v>1264</v>
      </c>
      <c r="F42" s="81">
        <f>D42-E42</f>
        <v>94476.222791012013</v>
      </c>
      <c r="G42" s="81">
        <f t="shared" ref="G42:G44" si="22">$E$39</f>
        <v>35.542058025464414</v>
      </c>
      <c r="H42" s="81">
        <f t="shared" ref="H42:H44" si="23">F42/G42</f>
        <v>2658.1528487552328</v>
      </c>
      <c r="I42" s="99"/>
      <c r="J42" s="99"/>
      <c r="K42" s="99"/>
      <c r="L42" s="99"/>
      <c r="M42" s="99"/>
      <c r="N42" s="99"/>
      <c r="O42" s="99"/>
      <c r="P42" s="99"/>
      <c r="Q42" s="99"/>
    </row>
    <row r="43" spans="2:19" ht="21.6" customHeight="1" thickBot="1">
      <c r="B43" s="80" t="s">
        <v>177</v>
      </c>
      <c r="C43" s="111">
        <v>23.09022603412847</v>
      </c>
      <c r="D43" s="81">
        <f>K39*C43</f>
        <v>214046.39533637092</v>
      </c>
      <c r="E43" s="81">
        <f t="shared" si="21"/>
        <v>1264</v>
      </c>
      <c r="F43" s="81">
        <f>D43-E43</f>
        <v>212782.39533637092</v>
      </c>
      <c r="G43" s="81">
        <f t="shared" si="22"/>
        <v>35.542058025464414</v>
      </c>
      <c r="H43" s="81">
        <f t="shared" si="23"/>
        <v>5986.7775575607111</v>
      </c>
      <c r="I43" s="99"/>
      <c r="J43" s="99"/>
      <c r="K43" s="99"/>
      <c r="L43" s="99"/>
      <c r="M43" s="99"/>
      <c r="N43" s="99"/>
      <c r="O43" s="99"/>
      <c r="P43" s="99"/>
      <c r="Q43" s="99"/>
    </row>
    <row r="44" spans="2:19" ht="21.6" customHeight="1" thickBot="1">
      <c r="B44" s="80" t="s">
        <v>219</v>
      </c>
      <c r="C44" s="111">
        <v>106.10761393340286</v>
      </c>
      <c r="D44" s="81">
        <f>F44+E44</f>
        <v>154907.82497556735</v>
      </c>
      <c r="E44" s="81">
        <f t="shared" si="21"/>
        <v>1264</v>
      </c>
      <c r="F44" s="81">
        <f>C44*L39</f>
        <v>153643.82497556735</v>
      </c>
      <c r="G44" s="81">
        <f t="shared" si="22"/>
        <v>35.542058025464414</v>
      </c>
      <c r="H44" s="81">
        <f t="shared" si="23"/>
        <v>4322.8736182212042</v>
      </c>
      <c r="I44" s="99"/>
      <c r="J44" s="99"/>
      <c r="K44" s="99"/>
      <c r="L44" s="99"/>
      <c r="M44" s="99"/>
      <c r="N44" s="99"/>
      <c r="O44" s="99"/>
      <c r="P44" s="99"/>
      <c r="Q44" s="99"/>
    </row>
    <row r="45" spans="2:19" ht="21.6" customHeight="1"/>
  </sheetData>
  <mergeCells count="3">
    <mergeCell ref="D28:I28"/>
    <mergeCell ref="J28:L28"/>
    <mergeCell ref="M28:O28"/>
  </mergeCells>
  <pageMargins left="0.7" right="0.7" top="0.75" bottom="0.75" header="0.3" footer="0.3"/>
  <pageSetup paperSize="9"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28AA-54A7-453B-B6AF-221A3848EA8F}">
  <dimension ref="A1:K96"/>
  <sheetViews>
    <sheetView zoomScaleNormal="100" zoomScalePageLayoutView="120" workbookViewId="0">
      <pane xSplit="1" ySplit="1" topLeftCell="G60" activePane="bottomRight" state="frozen"/>
      <selection activeCell="B6" sqref="B6"/>
      <selection pane="topRight" activeCell="B6" sqref="B6"/>
      <selection pane="bottomLeft" activeCell="B6" sqref="B6"/>
      <selection pane="bottomRight" activeCell="H65" sqref="H65"/>
    </sheetView>
  </sheetViews>
  <sheetFormatPr defaultColWidth="7.75" defaultRowHeight="14.25"/>
  <cols>
    <col min="1" max="1" width="24.125" style="2" bestFit="1" customWidth="1"/>
    <col min="2" max="11" width="11.75" style="2" bestFit="1" customWidth="1"/>
    <col min="12" max="16384" width="7.75" style="2"/>
  </cols>
  <sheetData>
    <row r="1" spans="1:11" s="1" customFormat="1" ht="15">
      <c r="A1" s="1" t="s">
        <v>1</v>
      </c>
      <c r="E1" s="64" t="str">
        <f>IF(B2&lt;&gt;B3, "A NEW VERSION OF THE WORKSHEET IS AVAILABLE", "")</f>
        <v/>
      </c>
      <c r="F1" s="64"/>
      <c r="G1" s="64"/>
      <c r="H1" s="64"/>
      <c r="I1" s="64"/>
      <c r="J1" s="64"/>
      <c r="K1" s="64"/>
    </row>
    <row r="2" spans="1:11" ht="15">
      <c r="A2" s="1" t="s">
        <v>2</v>
      </c>
      <c r="B2" s="2">
        <v>2.1</v>
      </c>
      <c r="E2" s="65" t="s">
        <v>3</v>
      </c>
      <c r="F2" s="65"/>
      <c r="G2" s="65"/>
      <c r="H2" s="65"/>
      <c r="I2" s="65"/>
      <c r="J2" s="65"/>
      <c r="K2" s="65"/>
    </row>
    <row r="3" spans="1:11" ht="15">
      <c r="A3" s="1" t="s">
        <v>4</v>
      </c>
      <c r="B3" s="2">
        <v>2.1</v>
      </c>
    </row>
    <row r="4" spans="1:11" ht="15">
      <c r="A4" s="1"/>
    </row>
    <row r="5" spans="1:11" ht="15">
      <c r="A5" s="1" t="s">
        <v>5</v>
      </c>
    </row>
    <row r="6" spans="1:11">
      <c r="A6" s="2" t="s">
        <v>6</v>
      </c>
      <c r="B6" s="2" t="s">
        <v>0</v>
      </c>
    </row>
    <row r="7" spans="1:11" ht="15">
      <c r="A7" s="2" t="s">
        <v>7</v>
      </c>
      <c r="B7" s="3">
        <v>1</v>
      </c>
    </row>
    <row r="8" spans="1:11" ht="15">
      <c r="A8" s="2" t="s">
        <v>8</v>
      </c>
      <c r="B8" s="3">
        <v>4789.6000000000004</v>
      </c>
    </row>
    <row r="9" spans="1:11" ht="15">
      <c r="A9" s="2" t="s">
        <v>9</v>
      </c>
      <c r="B9" s="3">
        <v>170264.27</v>
      </c>
    </row>
    <row r="15" spans="1:11" ht="15">
      <c r="A15" s="1" t="s">
        <v>10</v>
      </c>
    </row>
    <row r="16" spans="1:11" s="6" customFormat="1" ht="15">
      <c r="A16" s="4" t="s">
        <v>11</v>
      </c>
      <c r="B16" s="5">
        <v>42460</v>
      </c>
      <c r="C16" s="5">
        <v>42825</v>
      </c>
      <c r="D16" s="5">
        <v>43190</v>
      </c>
      <c r="E16" s="5">
        <v>43555</v>
      </c>
      <c r="F16" s="5">
        <v>43921</v>
      </c>
      <c r="G16" s="5">
        <v>44286</v>
      </c>
      <c r="H16" s="5">
        <v>44651</v>
      </c>
      <c r="I16" s="5">
        <v>45016</v>
      </c>
      <c r="J16" s="5">
        <v>45382</v>
      </c>
      <c r="K16" s="5">
        <v>45747</v>
      </c>
    </row>
    <row r="17" spans="1:11" s="7" customFormat="1" ht="15">
      <c r="A17" s="7" t="s">
        <v>12</v>
      </c>
      <c r="B17" s="3">
        <v>1686.17</v>
      </c>
      <c r="C17" s="3">
        <v>1812.44</v>
      </c>
      <c r="D17" s="3">
        <v>2157.46</v>
      </c>
      <c r="E17" s="3">
        <v>2630.24</v>
      </c>
      <c r="F17" s="3">
        <v>3485.98</v>
      </c>
      <c r="G17" s="3">
        <v>2592.96</v>
      </c>
      <c r="H17" s="3">
        <v>4498.0200000000004</v>
      </c>
      <c r="I17" s="3">
        <v>8242.02</v>
      </c>
      <c r="J17" s="3">
        <v>12375.11</v>
      </c>
      <c r="K17" s="3">
        <v>17134.61</v>
      </c>
    </row>
    <row r="18" spans="1:11" s="7" customFormat="1" ht="15">
      <c r="A18" s="2" t="s">
        <v>13</v>
      </c>
      <c r="B18" s="3">
        <v>810.2</v>
      </c>
      <c r="C18" s="3">
        <v>911.22</v>
      </c>
      <c r="D18" s="3">
        <v>1070.02</v>
      </c>
      <c r="E18" s="3">
        <v>1459.67</v>
      </c>
      <c r="F18" s="3">
        <v>1951.64</v>
      </c>
      <c r="G18" s="3">
        <v>1371.64</v>
      </c>
      <c r="H18" s="3">
        <v>2920.38</v>
      </c>
      <c r="I18" s="3">
        <v>5211.05</v>
      </c>
      <c r="J18" s="3">
        <v>7123.6</v>
      </c>
      <c r="K18" s="3">
        <v>10143.39</v>
      </c>
    </row>
    <row r="19" spans="1:11" s="7" customFormat="1" ht="15">
      <c r="A19" s="2" t="s">
        <v>14</v>
      </c>
      <c r="B19" s="3">
        <v>14.59</v>
      </c>
      <c r="C19" s="3">
        <v>29.86</v>
      </c>
      <c r="D19" s="3">
        <v>38.51</v>
      </c>
      <c r="E19" s="3">
        <v>148.22999999999999</v>
      </c>
      <c r="F19" s="3">
        <v>69.89</v>
      </c>
      <c r="G19" s="3">
        <v>-162.36000000000001</v>
      </c>
      <c r="H19" s="3">
        <v>438.84</v>
      </c>
      <c r="I19" s="3">
        <v>491.31</v>
      </c>
      <c r="J19" s="3">
        <v>164.71</v>
      </c>
      <c r="K19" s="3">
        <v>454.25</v>
      </c>
    </row>
    <row r="20" spans="1:11" s="7" customFormat="1" ht="15">
      <c r="A20" s="2" t="s">
        <v>15</v>
      </c>
      <c r="B20" s="3">
        <v>48.92</v>
      </c>
      <c r="C20" s="3">
        <v>51.28</v>
      </c>
      <c r="D20" s="3">
        <v>52.75</v>
      </c>
      <c r="E20" s="3">
        <v>59.18</v>
      </c>
      <c r="F20" s="3">
        <v>66.64</v>
      </c>
      <c r="G20" s="3">
        <v>49.41</v>
      </c>
      <c r="H20" s="3">
        <v>71.89</v>
      </c>
      <c r="I20" s="3">
        <v>144.28</v>
      </c>
      <c r="J20" s="3">
        <v>229.16</v>
      </c>
      <c r="K20" s="3">
        <v>349.87</v>
      </c>
    </row>
    <row r="21" spans="1:11" s="7" customFormat="1" ht="15">
      <c r="A21" s="2" t="s">
        <v>16</v>
      </c>
      <c r="B21" s="3">
        <v>76.42</v>
      </c>
      <c r="C21" s="3">
        <v>81.91</v>
      </c>
      <c r="D21" s="3">
        <v>90.78</v>
      </c>
      <c r="E21" s="3">
        <v>122.09</v>
      </c>
      <c r="F21" s="3">
        <v>97.51</v>
      </c>
      <c r="G21" s="3">
        <v>92</v>
      </c>
      <c r="H21" s="3">
        <v>127.14</v>
      </c>
      <c r="I21" s="3">
        <v>211.99</v>
      </c>
      <c r="J21" s="3">
        <v>264.58999999999997</v>
      </c>
      <c r="K21" s="3">
        <v>369.79</v>
      </c>
    </row>
    <row r="22" spans="1:11" s="7" customFormat="1" ht="15">
      <c r="A22" s="2" t="s">
        <v>17</v>
      </c>
      <c r="B22" s="3">
        <v>165.69</v>
      </c>
      <c r="C22" s="3">
        <v>194.72</v>
      </c>
      <c r="D22" s="3">
        <v>233.02</v>
      </c>
      <c r="E22" s="3">
        <v>288.89</v>
      </c>
      <c r="F22" s="3">
        <v>361.01</v>
      </c>
      <c r="G22" s="3">
        <v>303.39999999999998</v>
      </c>
      <c r="H22" s="3">
        <v>402.92</v>
      </c>
      <c r="I22" s="3">
        <v>659.07</v>
      </c>
      <c r="J22" s="3">
        <v>1041.74</v>
      </c>
      <c r="K22" s="3">
        <v>1315.54</v>
      </c>
    </row>
    <row r="23" spans="1:11" s="7" customFormat="1" ht="15">
      <c r="A23" s="2" t="s">
        <v>18</v>
      </c>
      <c r="B23" s="3">
        <v>444.06</v>
      </c>
      <c r="C23" s="3">
        <v>407.07</v>
      </c>
      <c r="D23" s="3">
        <v>450.61</v>
      </c>
      <c r="E23" s="3">
        <v>514.41</v>
      </c>
      <c r="F23" s="3">
        <v>436.82</v>
      </c>
      <c r="G23" s="3">
        <v>364.62</v>
      </c>
      <c r="H23" s="3">
        <v>705.03</v>
      </c>
      <c r="I23" s="3">
        <v>1252.53</v>
      </c>
      <c r="J23" s="3">
        <v>1709.55</v>
      </c>
      <c r="K23" s="3">
        <v>2322.83</v>
      </c>
    </row>
    <row r="24" spans="1:11" s="7" customFormat="1" ht="15">
      <c r="A24" s="2" t="s">
        <v>19</v>
      </c>
      <c r="B24" s="3">
        <v>65.709999999999994</v>
      </c>
      <c r="C24" s="3">
        <v>62.57</v>
      </c>
      <c r="D24" s="3">
        <v>90.29</v>
      </c>
      <c r="E24" s="3">
        <v>93.59</v>
      </c>
      <c r="F24" s="3">
        <v>113.28</v>
      </c>
      <c r="G24" s="3">
        <v>135.66</v>
      </c>
      <c r="H24" s="3">
        <v>114.78</v>
      </c>
      <c r="I24" s="3">
        <v>140.26</v>
      </c>
      <c r="J24" s="3">
        <v>200.49</v>
      </c>
      <c r="K24" s="3">
        <v>267.48</v>
      </c>
    </row>
    <row r="25" spans="1:11" s="7" customFormat="1" ht="15">
      <c r="A25" s="7" t="s">
        <v>20</v>
      </c>
      <c r="B25" s="3">
        <v>86.44</v>
      </c>
      <c r="C25" s="3">
        <v>81.31</v>
      </c>
      <c r="D25" s="3">
        <v>27.47</v>
      </c>
      <c r="E25" s="3">
        <v>30.14</v>
      </c>
      <c r="F25" s="3">
        <v>146.63</v>
      </c>
      <c r="G25" s="3">
        <v>199.4</v>
      </c>
      <c r="H25" s="3">
        <v>152.16</v>
      </c>
      <c r="I25" s="3">
        <v>340.6</v>
      </c>
      <c r="J25" s="3">
        <v>988.91</v>
      </c>
      <c r="K25" s="3">
        <v>305.06</v>
      </c>
    </row>
    <row r="26" spans="1:11" s="7" customFormat="1" ht="15">
      <c r="A26" s="7" t="s">
        <v>21</v>
      </c>
      <c r="B26" s="3">
        <v>38.590000000000003</v>
      </c>
      <c r="C26" s="3">
        <v>41.29</v>
      </c>
      <c r="D26" s="3">
        <v>45.53</v>
      </c>
      <c r="E26" s="3">
        <v>51.67</v>
      </c>
      <c r="F26" s="3">
        <v>247.24</v>
      </c>
      <c r="G26" s="3">
        <v>257.3</v>
      </c>
      <c r="H26" s="3">
        <v>310.82</v>
      </c>
      <c r="I26" s="3">
        <v>493.69</v>
      </c>
      <c r="J26" s="3">
        <v>671.11</v>
      </c>
      <c r="K26" s="3">
        <v>895.18</v>
      </c>
    </row>
    <row r="27" spans="1:11" s="7" customFormat="1" ht="15">
      <c r="A27" s="7" t="s">
        <v>22</v>
      </c>
      <c r="B27" s="3">
        <v>47.73</v>
      </c>
      <c r="C27" s="3">
        <v>45.55</v>
      </c>
      <c r="D27" s="3">
        <v>43.78</v>
      </c>
      <c r="E27" s="3">
        <v>50.64</v>
      </c>
      <c r="F27" s="3">
        <v>263.37</v>
      </c>
      <c r="G27" s="3">
        <v>260.79000000000002</v>
      </c>
      <c r="H27" s="3">
        <v>324.83999999999997</v>
      </c>
      <c r="I27" s="3">
        <v>408.99</v>
      </c>
      <c r="J27" s="3">
        <v>367.66</v>
      </c>
      <c r="K27" s="3">
        <v>200.1</v>
      </c>
    </row>
    <row r="28" spans="1:11" s="7" customFormat="1" ht="15">
      <c r="A28" s="7" t="s">
        <v>23</v>
      </c>
      <c r="B28" s="3">
        <v>89.88</v>
      </c>
      <c r="C28" s="3">
        <v>128</v>
      </c>
      <c r="D28" s="3">
        <v>146.66</v>
      </c>
      <c r="E28" s="3">
        <v>168.47</v>
      </c>
      <c r="F28" s="3">
        <v>164.99</v>
      </c>
      <c r="G28" s="3">
        <v>-204.82</v>
      </c>
      <c r="H28" s="3">
        <v>111.22</v>
      </c>
      <c r="I28" s="3">
        <v>552.07000000000005</v>
      </c>
      <c r="J28" s="3">
        <v>1920.83</v>
      </c>
      <c r="K28" s="3">
        <v>2029.74</v>
      </c>
    </row>
    <row r="29" spans="1:11" s="7" customFormat="1" ht="15">
      <c r="A29" s="7" t="s">
        <v>24</v>
      </c>
      <c r="B29" s="3">
        <v>34.71</v>
      </c>
      <c r="C29" s="3">
        <v>43.05</v>
      </c>
      <c r="D29" s="3">
        <v>59.62</v>
      </c>
      <c r="E29" s="3">
        <v>73.61</v>
      </c>
      <c r="F29" s="3">
        <v>59.01</v>
      </c>
      <c r="G29" s="3">
        <v>-58.65</v>
      </c>
      <c r="H29" s="3">
        <v>5.39</v>
      </c>
      <c r="I29" s="3">
        <v>107.44</v>
      </c>
      <c r="J29" s="3">
        <v>434.03</v>
      </c>
      <c r="K29" s="3">
        <v>483.02</v>
      </c>
    </row>
    <row r="30" spans="1:11" s="7" customFormat="1" ht="15">
      <c r="A30" s="7" t="s">
        <v>25</v>
      </c>
      <c r="B30" s="3">
        <v>55.1</v>
      </c>
      <c r="C30" s="3">
        <v>84.86</v>
      </c>
      <c r="D30" s="3">
        <v>86.97</v>
      </c>
      <c r="E30" s="3">
        <v>96.96</v>
      </c>
      <c r="F30" s="3">
        <v>122.85</v>
      </c>
      <c r="G30" s="3">
        <v>-146.16999999999999</v>
      </c>
      <c r="H30" s="3">
        <v>105.83</v>
      </c>
      <c r="I30" s="3">
        <v>444.63</v>
      </c>
      <c r="J30" s="3">
        <v>1486.8</v>
      </c>
      <c r="K30" s="3">
        <v>1546.72</v>
      </c>
    </row>
    <row r="31" spans="1:11" s="7" customFormat="1" ht="15">
      <c r="A31" s="7" t="s">
        <v>26</v>
      </c>
      <c r="B31" s="3">
        <v>29.91</v>
      </c>
      <c r="C31" s="3">
        <v>33.229999999999997</v>
      </c>
      <c r="D31" s="3">
        <v>38.21</v>
      </c>
      <c r="E31" s="3">
        <v>43.2</v>
      </c>
      <c r="F31" s="3">
        <v>35.549999999999997</v>
      </c>
      <c r="G31" s="3">
        <v>21.33</v>
      </c>
      <c r="H31" s="3">
        <v>60.44</v>
      </c>
      <c r="I31" s="3">
        <v>78.209999999999994</v>
      </c>
      <c r="J31" s="3">
        <v>113.76</v>
      </c>
      <c r="K31" s="3">
        <v>177.75</v>
      </c>
    </row>
    <row r="32" spans="1:11" s="7" customFormat="1" ht="15"/>
    <row r="33" spans="1:11" ht="15">
      <c r="A33" s="7"/>
    </row>
    <row r="34" spans="1:11" ht="15">
      <c r="A34" s="7"/>
    </row>
    <row r="35" spans="1:11" ht="15">
      <c r="A35" s="7"/>
      <c r="C35" s="2">
        <f>C31-C33</f>
        <v>33.229999999999997</v>
      </c>
    </row>
    <row r="36" spans="1:11" ht="15">
      <c r="A36" s="7"/>
    </row>
    <row r="37" spans="1:11" ht="15">
      <c r="A37" s="7"/>
    </row>
    <row r="38" spans="1:11" ht="15">
      <c r="A38" s="7"/>
    </row>
    <row r="39" spans="1:11" ht="15">
      <c r="A39" s="7"/>
    </row>
    <row r="40" spans="1:11" ht="15">
      <c r="A40" s="1" t="s">
        <v>27</v>
      </c>
    </row>
    <row r="41" spans="1:11" s="6" customFormat="1" ht="15">
      <c r="A41" s="4" t="s">
        <v>11</v>
      </c>
      <c r="B41" s="5">
        <v>45016</v>
      </c>
      <c r="C41" s="5">
        <v>45107</v>
      </c>
      <c r="D41" s="5">
        <v>45199</v>
      </c>
      <c r="E41" s="5">
        <v>45291</v>
      </c>
      <c r="F41" s="5">
        <v>45382</v>
      </c>
      <c r="G41" s="5">
        <v>45473</v>
      </c>
      <c r="H41" s="5">
        <v>45565</v>
      </c>
      <c r="I41" s="5">
        <v>45657</v>
      </c>
      <c r="J41" s="5">
        <v>45747</v>
      </c>
      <c r="K41" s="5">
        <v>45838</v>
      </c>
    </row>
    <row r="42" spans="1:11" s="7" customFormat="1" ht="15">
      <c r="A42" s="7" t="s">
        <v>12</v>
      </c>
      <c r="B42" s="3">
        <v>2182.75</v>
      </c>
      <c r="C42" s="3">
        <v>2628.37</v>
      </c>
      <c r="D42" s="3">
        <v>2982.42</v>
      </c>
      <c r="E42" s="3">
        <v>3466.62</v>
      </c>
      <c r="F42" s="3">
        <v>3297.7</v>
      </c>
      <c r="G42" s="3">
        <v>4104.4399999999996</v>
      </c>
      <c r="H42" s="3">
        <v>4156.67</v>
      </c>
      <c r="I42" s="3">
        <v>4656.5600000000004</v>
      </c>
      <c r="J42" s="3">
        <v>4216.9399999999996</v>
      </c>
      <c r="K42" s="3">
        <v>4883.4799999999996</v>
      </c>
    </row>
    <row r="43" spans="1:11" s="7" customFormat="1" ht="15">
      <c r="A43" s="7" t="s">
        <v>28</v>
      </c>
      <c r="B43" s="3">
        <v>1979.73</v>
      </c>
      <c r="C43" s="3">
        <v>2260.9699999999998</v>
      </c>
      <c r="D43" s="3">
        <v>2525.85</v>
      </c>
      <c r="E43" s="3">
        <v>2838.1</v>
      </c>
      <c r="F43" s="3">
        <v>2828.06</v>
      </c>
      <c r="G43" s="3">
        <v>3491.09</v>
      </c>
      <c r="H43" s="3">
        <v>3513.66</v>
      </c>
      <c r="I43" s="3">
        <v>3809.19</v>
      </c>
      <c r="J43" s="3">
        <v>3566.03</v>
      </c>
      <c r="K43" s="3">
        <v>4035.62</v>
      </c>
    </row>
    <row r="44" spans="1:11" s="7" customFormat="1" ht="15">
      <c r="A44" s="7" t="s">
        <v>20</v>
      </c>
      <c r="B44" s="3">
        <v>88.91</v>
      </c>
      <c r="C44" s="3">
        <v>78.61</v>
      </c>
      <c r="D44" s="3">
        <v>105.42</v>
      </c>
      <c r="E44" s="3">
        <v>110.01</v>
      </c>
      <c r="F44" s="3">
        <v>694.87</v>
      </c>
      <c r="G44" s="3">
        <v>100.91</v>
      </c>
      <c r="H44" s="3">
        <v>53.75</v>
      </c>
      <c r="I44" s="3">
        <v>79.87</v>
      </c>
      <c r="J44" s="3">
        <v>74.34</v>
      </c>
      <c r="K44" s="3">
        <v>49.8</v>
      </c>
    </row>
    <row r="45" spans="1:11" s="7" customFormat="1" ht="15">
      <c r="A45" s="7" t="s">
        <v>21</v>
      </c>
      <c r="B45" s="3">
        <v>136.57</v>
      </c>
      <c r="C45" s="3">
        <v>141.41999999999999</v>
      </c>
      <c r="D45" s="3">
        <v>152.22</v>
      </c>
      <c r="E45" s="3">
        <v>164.53</v>
      </c>
      <c r="F45" s="3">
        <v>212.94</v>
      </c>
      <c r="G45" s="3">
        <v>181.32</v>
      </c>
      <c r="H45" s="3">
        <v>196.95</v>
      </c>
      <c r="I45" s="3">
        <v>244.93</v>
      </c>
      <c r="J45" s="3">
        <v>271.98</v>
      </c>
      <c r="K45" s="3">
        <v>292.93</v>
      </c>
    </row>
    <row r="46" spans="1:11" s="7" customFormat="1" ht="15">
      <c r="A46" s="7" t="s">
        <v>22</v>
      </c>
      <c r="B46" s="3">
        <v>91.59</v>
      </c>
      <c r="C46" s="3">
        <v>92.3</v>
      </c>
      <c r="D46" s="3">
        <v>95.45</v>
      </c>
      <c r="E46" s="3">
        <v>98.81</v>
      </c>
      <c r="F46" s="3">
        <v>32.54</v>
      </c>
      <c r="G46" s="3">
        <v>31.55</v>
      </c>
      <c r="H46" s="3">
        <v>33</v>
      </c>
      <c r="I46" s="3">
        <v>36.520000000000003</v>
      </c>
      <c r="J46" s="3">
        <v>37.520000000000003</v>
      </c>
      <c r="K46" s="3">
        <v>40.04</v>
      </c>
    </row>
    <row r="47" spans="1:11" s="7" customFormat="1" ht="15">
      <c r="A47" s="7" t="s">
        <v>23</v>
      </c>
      <c r="B47" s="3">
        <v>63.77</v>
      </c>
      <c r="C47" s="3">
        <v>212.29</v>
      </c>
      <c r="D47" s="3">
        <v>314.32</v>
      </c>
      <c r="E47" s="3">
        <v>475.19</v>
      </c>
      <c r="F47" s="3">
        <v>919.03</v>
      </c>
      <c r="G47" s="3">
        <v>501.39</v>
      </c>
      <c r="H47" s="3">
        <v>466.81</v>
      </c>
      <c r="I47" s="3">
        <v>645.79</v>
      </c>
      <c r="J47" s="3">
        <v>415.75</v>
      </c>
      <c r="K47" s="3">
        <v>564.69000000000005</v>
      </c>
    </row>
    <row r="48" spans="1:11" s="7" customFormat="1" ht="15">
      <c r="A48" s="7" t="s">
        <v>24</v>
      </c>
      <c r="B48" s="3">
        <v>18.82</v>
      </c>
      <c r="C48" s="3">
        <v>45.62</v>
      </c>
      <c r="D48" s="3">
        <v>86.26</v>
      </c>
      <c r="E48" s="3">
        <v>104.55</v>
      </c>
      <c r="F48" s="3">
        <v>206.94</v>
      </c>
      <c r="G48" s="3">
        <v>110.18</v>
      </c>
      <c r="H48" s="3">
        <v>131.75</v>
      </c>
      <c r="I48" s="3">
        <v>149.25</v>
      </c>
      <c r="J48" s="3">
        <v>104.15</v>
      </c>
      <c r="K48" s="3">
        <v>139.99</v>
      </c>
    </row>
    <row r="49" spans="1:11" s="7" customFormat="1" ht="15">
      <c r="A49" s="7" t="s">
        <v>25</v>
      </c>
      <c r="B49" s="3">
        <v>54.1</v>
      </c>
      <c r="C49" s="3">
        <v>173.48</v>
      </c>
      <c r="D49" s="3">
        <v>234.73</v>
      </c>
      <c r="E49" s="3">
        <v>374.36</v>
      </c>
      <c r="F49" s="3">
        <v>704.23</v>
      </c>
      <c r="G49" s="3">
        <v>392.57</v>
      </c>
      <c r="H49" s="3">
        <v>338.75</v>
      </c>
      <c r="I49" s="3">
        <v>497.25</v>
      </c>
      <c r="J49" s="3">
        <v>318.14999999999998</v>
      </c>
      <c r="K49" s="3">
        <v>429.69</v>
      </c>
    </row>
    <row r="50" spans="1:11" ht="15">
      <c r="A50" s="7" t="s">
        <v>29</v>
      </c>
      <c r="B50" s="3">
        <v>203.02</v>
      </c>
      <c r="C50" s="3">
        <v>367.4</v>
      </c>
      <c r="D50" s="3">
        <v>456.57</v>
      </c>
      <c r="E50" s="3">
        <v>628.52</v>
      </c>
      <c r="F50" s="3">
        <v>469.64</v>
      </c>
      <c r="G50" s="3">
        <v>613.35</v>
      </c>
      <c r="H50" s="3">
        <v>643.01</v>
      </c>
      <c r="I50" s="3">
        <v>847.37</v>
      </c>
      <c r="J50" s="3">
        <v>650.91</v>
      </c>
      <c r="K50" s="3">
        <v>847.86</v>
      </c>
    </row>
    <row r="51" spans="1:11" ht="15">
      <c r="A51" s="7"/>
    </row>
    <row r="52" spans="1:11" ht="15">
      <c r="A52" s="7"/>
    </row>
    <row r="53" spans="1:11" ht="15">
      <c r="A53" s="7"/>
    </row>
    <row r="54" spans="1:11" ht="15">
      <c r="A54" s="7"/>
    </row>
    <row r="55" spans="1:11" ht="15">
      <c r="A55" s="1" t="s">
        <v>30</v>
      </c>
    </row>
    <row r="56" spans="1:11" s="6" customFormat="1" ht="15">
      <c r="A56" s="4" t="s">
        <v>11</v>
      </c>
      <c r="B56" s="5">
        <v>42460</v>
      </c>
      <c r="C56" s="5">
        <v>42825</v>
      </c>
      <c r="D56" s="5">
        <v>43190</v>
      </c>
      <c r="E56" s="5">
        <v>43555</v>
      </c>
      <c r="F56" s="5">
        <v>43921</v>
      </c>
      <c r="G56" s="5">
        <v>44286</v>
      </c>
      <c r="H56" s="5">
        <v>44651</v>
      </c>
      <c r="I56" s="5">
        <v>45016</v>
      </c>
      <c r="J56" s="5">
        <v>45382</v>
      </c>
      <c r="K56" s="5">
        <v>45747</v>
      </c>
    </row>
    <row r="57" spans="1:11" ht="15">
      <c r="A57" s="7" t="s">
        <v>31</v>
      </c>
      <c r="B57" s="3">
        <v>33.229999999999997</v>
      </c>
      <c r="C57" s="3">
        <v>33.229999999999997</v>
      </c>
      <c r="D57" s="3">
        <v>33.229999999999997</v>
      </c>
      <c r="E57" s="3">
        <v>33.229999999999997</v>
      </c>
      <c r="F57" s="3">
        <v>35.549999999999997</v>
      </c>
      <c r="G57" s="3">
        <v>35.549999999999997</v>
      </c>
      <c r="H57" s="3">
        <v>35.549999999999997</v>
      </c>
      <c r="I57" s="3">
        <v>35.549999999999997</v>
      </c>
      <c r="J57" s="3">
        <v>35.549999999999997</v>
      </c>
      <c r="K57" s="3">
        <v>35.549999999999997</v>
      </c>
    </row>
    <row r="58" spans="1:11" ht="15">
      <c r="A58" s="7" t="s">
        <v>32</v>
      </c>
      <c r="B58" s="3">
        <v>1431.16</v>
      </c>
      <c r="C58" s="3">
        <v>1514.46</v>
      </c>
      <c r="D58" s="3">
        <v>1562.14</v>
      </c>
      <c r="E58" s="3">
        <v>1613.28</v>
      </c>
      <c r="F58" s="3">
        <v>2352.2199999999998</v>
      </c>
      <c r="G58" s="3">
        <v>2277.48</v>
      </c>
      <c r="H58" s="3">
        <v>2328.4499999999998</v>
      </c>
      <c r="I58" s="3">
        <v>2559.94</v>
      </c>
      <c r="J58" s="3">
        <v>4032.19</v>
      </c>
      <c r="K58" s="3">
        <v>5426.19</v>
      </c>
    </row>
    <row r="59" spans="1:11" ht="15">
      <c r="A59" s="7" t="s">
        <v>33</v>
      </c>
      <c r="B59" s="3">
        <v>399.8</v>
      </c>
      <c r="C59" s="3">
        <v>391.74</v>
      </c>
      <c r="D59" s="3">
        <v>391.43</v>
      </c>
      <c r="E59" s="3">
        <v>494.14</v>
      </c>
      <c r="F59" s="3">
        <v>299.74</v>
      </c>
      <c r="G59" s="3">
        <v>299.93</v>
      </c>
      <c r="H59" s="3">
        <v>4725.3599999999997</v>
      </c>
      <c r="I59" s="3">
        <v>4464.1400000000003</v>
      </c>
      <c r="J59" s="3">
        <v>1752.99</v>
      </c>
      <c r="K59" s="3">
        <v>2237.19</v>
      </c>
    </row>
    <row r="60" spans="1:11" ht="15">
      <c r="A60" s="7" t="s">
        <v>34</v>
      </c>
      <c r="B60" s="3">
        <v>292.39999999999998</v>
      </c>
      <c r="C60" s="3">
        <v>282.82</v>
      </c>
      <c r="D60" s="3">
        <v>349.06</v>
      </c>
      <c r="E60" s="3">
        <v>418.11</v>
      </c>
      <c r="F60" s="3">
        <v>2819.17</v>
      </c>
      <c r="G60" s="3">
        <v>3110.77</v>
      </c>
      <c r="H60" s="3">
        <v>636.66</v>
      </c>
      <c r="I60" s="3">
        <v>1021.9</v>
      </c>
      <c r="J60" s="3">
        <v>1341.02</v>
      </c>
      <c r="K60" s="3">
        <v>1720.71</v>
      </c>
    </row>
    <row r="61" spans="1:11" s="1" customFormat="1" ht="15">
      <c r="A61" s="1" t="s">
        <v>35</v>
      </c>
      <c r="B61" s="3">
        <v>2156.59</v>
      </c>
      <c r="C61" s="3">
        <v>2222.25</v>
      </c>
      <c r="D61" s="3">
        <v>2335.86</v>
      </c>
      <c r="E61" s="3">
        <v>2558.7600000000002</v>
      </c>
      <c r="F61" s="3">
        <v>5506.68</v>
      </c>
      <c r="G61" s="3">
        <v>5723.73</v>
      </c>
      <c r="H61" s="3">
        <v>7726.02</v>
      </c>
      <c r="I61" s="3">
        <v>8081.53</v>
      </c>
      <c r="J61" s="3">
        <v>7161.75</v>
      </c>
      <c r="K61" s="3">
        <v>9419.64</v>
      </c>
    </row>
    <row r="62" spans="1:11" ht="15">
      <c r="A62" s="7" t="s">
        <v>36</v>
      </c>
      <c r="B62" s="3">
        <v>476.79</v>
      </c>
      <c r="C62" s="3">
        <v>548.71</v>
      </c>
      <c r="D62" s="3">
        <v>612.53</v>
      </c>
      <c r="E62" s="3">
        <v>662.18</v>
      </c>
      <c r="F62" s="3">
        <v>2738.43</v>
      </c>
      <c r="G62" s="3">
        <v>3053.82</v>
      </c>
      <c r="H62" s="3">
        <v>4686.71</v>
      </c>
      <c r="I62" s="3">
        <v>4526.95</v>
      </c>
      <c r="J62" s="3">
        <v>2449.92</v>
      </c>
      <c r="K62" s="3">
        <v>3895.13</v>
      </c>
    </row>
    <row r="63" spans="1:11" ht="15">
      <c r="A63" s="7" t="s">
        <v>37</v>
      </c>
      <c r="B63" s="3">
        <v>54.86</v>
      </c>
      <c r="C63" s="3">
        <v>5.48</v>
      </c>
      <c r="D63" s="3">
        <v>9.59</v>
      </c>
      <c r="E63" s="3">
        <v>87.18</v>
      </c>
      <c r="F63" s="3">
        <v>23.32</v>
      </c>
      <c r="G63" s="3">
        <v>107.98</v>
      </c>
      <c r="H63" s="3">
        <v>104.72</v>
      </c>
      <c r="I63" s="3">
        <v>101.72</v>
      </c>
      <c r="J63" s="3">
        <v>223.78</v>
      </c>
      <c r="K63" s="3">
        <v>179.5</v>
      </c>
    </row>
    <row r="64" spans="1:11" ht="15">
      <c r="A64" s="7" t="s">
        <v>38</v>
      </c>
      <c r="B64" s="3">
        <v>1066.97</v>
      </c>
      <c r="C64" s="3">
        <v>1079.96</v>
      </c>
      <c r="D64" s="3">
        <v>1022.88</v>
      </c>
      <c r="E64" s="3">
        <v>882.83</v>
      </c>
      <c r="F64" s="3">
        <v>1514.78</v>
      </c>
      <c r="G64" s="3">
        <v>1487.29</v>
      </c>
      <c r="H64" s="3">
        <v>1283.72</v>
      </c>
      <c r="I64" s="3">
        <v>1109.8699999999999</v>
      </c>
      <c r="J64" s="3">
        <v>1416.03</v>
      </c>
      <c r="K64" s="3">
        <v>1480.25</v>
      </c>
    </row>
    <row r="65" spans="1:11" ht="15">
      <c r="A65" s="7" t="s">
        <v>39</v>
      </c>
      <c r="B65" s="3">
        <v>557.97</v>
      </c>
      <c r="C65" s="3">
        <v>588.1</v>
      </c>
      <c r="D65" s="3">
        <v>690.86</v>
      </c>
      <c r="E65" s="3">
        <v>926.57</v>
      </c>
      <c r="F65" s="3">
        <v>1230.1500000000001</v>
      </c>
      <c r="G65" s="3">
        <v>1074.6400000000001</v>
      </c>
      <c r="H65" s="3">
        <v>1650.87</v>
      </c>
      <c r="I65" s="3">
        <v>2342.9899999999998</v>
      </c>
      <c r="J65" s="3">
        <v>3072.02</v>
      </c>
      <c r="K65" s="3">
        <v>3864.76</v>
      </c>
    </row>
    <row r="66" spans="1:11" s="1" customFormat="1" ht="15">
      <c r="A66" s="1" t="s">
        <v>35</v>
      </c>
      <c r="B66" s="3">
        <v>2156.59</v>
      </c>
      <c r="C66" s="3">
        <v>2222.25</v>
      </c>
      <c r="D66" s="3">
        <v>2335.86</v>
      </c>
      <c r="E66" s="3">
        <v>2558.7600000000002</v>
      </c>
      <c r="F66" s="3">
        <v>5506.68</v>
      </c>
      <c r="G66" s="3">
        <v>5723.73</v>
      </c>
      <c r="H66" s="3">
        <v>7726.02</v>
      </c>
      <c r="I66" s="3">
        <v>8081.53</v>
      </c>
      <c r="J66" s="3">
        <v>7161.75</v>
      </c>
      <c r="K66" s="3">
        <v>9419.64</v>
      </c>
    </row>
    <row r="67" spans="1:11" s="7" customFormat="1" ht="15">
      <c r="A67" s="7" t="s">
        <v>40</v>
      </c>
      <c r="B67" s="3">
        <v>12.99</v>
      </c>
      <c r="C67" s="3">
        <v>5.92</v>
      </c>
      <c r="D67" s="3">
        <v>15.1</v>
      </c>
      <c r="E67" s="3">
        <v>16.54</v>
      </c>
      <c r="F67" s="3">
        <v>17.12</v>
      </c>
      <c r="G67" s="3">
        <v>20.77</v>
      </c>
      <c r="H67" s="3">
        <v>18.260000000000002</v>
      </c>
      <c r="I67" s="3">
        <v>34.39</v>
      </c>
      <c r="J67" s="3">
        <v>81.739999999999995</v>
      </c>
      <c r="K67" s="3">
        <v>62.95</v>
      </c>
    </row>
    <row r="68" spans="1:11" ht="15">
      <c r="A68" s="7" t="s">
        <v>41</v>
      </c>
      <c r="B68" s="3">
        <v>279.19</v>
      </c>
      <c r="C68" s="3">
        <v>305.36</v>
      </c>
      <c r="D68" s="3">
        <v>344.77</v>
      </c>
      <c r="E68" s="3">
        <v>497.01</v>
      </c>
      <c r="F68" s="3">
        <v>607.80999999999995</v>
      </c>
      <c r="G68" s="3">
        <v>428.39</v>
      </c>
      <c r="H68" s="3">
        <v>867.78</v>
      </c>
      <c r="I68" s="3">
        <v>1361.16</v>
      </c>
      <c r="J68" s="3">
        <v>1582.73</v>
      </c>
      <c r="K68" s="3">
        <v>2045.05</v>
      </c>
    </row>
    <row r="69" spans="1:11" ht="15">
      <c r="A69" s="2" t="s">
        <v>42</v>
      </c>
      <c r="B69" s="3">
        <v>26.9</v>
      </c>
      <c r="C69" s="3">
        <v>34.28</v>
      </c>
      <c r="D69" s="3">
        <v>32.81</v>
      </c>
      <c r="E69" s="3">
        <v>54.23</v>
      </c>
      <c r="F69" s="3">
        <v>61.41</v>
      </c>
      <c r="G69" s="3">
        <v>81.47</v>
      </c>
      <c r="H69" s="3">
        <v>85.97</v>
      </c>
      <c r="I69" s="3">
        <v>86.3</v>
      </c>
      <c r="J69" s="3">
        <v>297.56</v>
      </c>
      <c r="K69" s="3">
        <v>339.84</v>
      </c>
    </row>
    <row r="70" spans="1:11" ht="15">
      <c r="A70" s="2" t="s">
        <v>43</v>
      </c>
      <c r="B70" s="3">
        <v>33231673</v>
      </c>
      <c r="C70" s="3">
        <v>332316730</v>
      </c>
      <c r="D70" s="3">
        <v>332316730</v>
      </c>
      <c r="E70" s="3">
        <v>332316730</v>
      </c>
      <c r="F70" s="3">
        <v>355487461</v>
      </c>
      <c r="G70" s="3">
        <v>355487461</v>
      </c>
      <c r="H70" s="3">
        <v>355487461</v>
      </c>
      <c r="I70" s="3">
        <v>355487461</v>
      </c>
      <c r="J70" s="3">
        <v>355487461</v>
      </c>
      <c r="K70" s="3">
        <v>355487461</v>
      </c>
    </row>
    <row r="71" spans="1:11">
      <c r="A71" s="2" t="s">
        <v>44</v>
      </c>
    </row>
    <row r="72" spans="1:11" ht="15">
      <c r="A72" s="2" t="s">
        <v>45</v>
      </c>
      <c r="B72" s="3">
        <v>10</v>
      </c>
      <c r="C72" s="3">
        <v>1</v>
      </c>
      <c r="D72" s="3">
        <v>1</v>
      </c>
      <c r="E72" s="3">
        <v>1</v>
      </c>
      <c r="F72" s="3">
        <v>1</v>
      </c>
      <c r="G72" s="3">
        <v>1</v>
      </c>
      <c r="H72" s="3">
        <v>1</v>
      </c>
      <c r="I72" s="3">
        <v>1</v>
      </c>
      <c r="J72" s="3">
        <v>1</v>
      </c>
      <c r="K72" s="3">
        <v>1</v>
      </c>
    </row>
    <row r="74" spans="1:11" ht="15">
      <c r="A74" s="7"/>
    </row>
    <row r="75" spans="1:11" ht="15">
      <c r="A75" s="7"/>
    </row>
    <row r="76" spans="1:11" ht="15">
      <c r="A76" s="7"/>
    </row>
    <row r="77" spans="1:11" ht="15">
      <c r="A77" s="7"/>
    </row>
    <row r="78" spans="1:11" ht="15">
      <c r="A78" s="7"/>
    </row>
    <row r="79" spans="1:11" ht="15">
      <c r="A79" s="7"/>
    </row>
    <row r="80" spans="1:11" ht="15">
      <c r="A80" s="1" t="s">
        <v>46</v>
      </c>
    </row>
    <row r="81" spans="1:11" s="6" customFormat="1" ht="15">
      <c r="A81" s="4" t="s">
        <v>11</v>
      </c>
      <c r="B81" s="5">
        <v>42460</v>
      </c>
      <c r="C81" s="5">
        <v>42825</v>
      </c>
      <c r="D81" s="5">
        <v>43190</v>
      </c>
      <c r="E81" s="5">
        <v>43555</v>
      </c>
      <c r="F81" s="5">
        <v>43921</v>
      </c>
      <c r="G81" s="5">
        <v>44286</v>
      </c>
      <c r="H81" s="5">
        <v>44651</v>
      </c>
      <c r="I81" s="5">
        <v>45016</v>
      </c>
      <c r="J81" s="5">
        <v>45382</v>
      </c>
      <c r="K81" s="5">
        <v>45747</v>
      </c>
    </row>
    <row r="82" spans="1:11" s="1" customFormat="1" ht="15">
      <c r="A82" s="7" t="s">
        <v>47</v>
      </c>
      <c r="B82" s="3">
        <v>109.42</v>
      </c>
      <c r="C82" s="3">
        <v>102.44</v>
      </c>
      <c r="D82" s="3">
        <v>76.86</v>
      </c>
      <c r="E82" s="3">
        <v>20.98</v>
      </c>
      <c r="F82" s="3">
        <v>361.16</v>
      </c>
      <c r="G82" s="3">
        <v>285.02999999999997</v>
      </c>
      <c r="H82" s="3">
        <v>58.08</v>
      </c>
      <c r="I82" s="3">
        <v>594.88</v>
      </c>
      <c r="J82" s="3">
        <v>1348.98</v>
      </c>
      <c r="K82" s="3">
        <v>1660.9</v>
      </c>
    </row>
    <row r="83" spans="1:11" s="7" customFormat="1" ht="15">
      <c r="A83" s="7" t="s">
        <v>48</v>
      </c>
      <c r="B83" s="3">
        <v>-98.4</v>
      </c>
      <c r="C83" s="3">
        <v>-43.7</v>
      </c>
      <c r="D83" s="3">
        <v>-4.0199999999999996</v>
      </c>
      <c r="E83" s="3">
        <v>-37.03</v>
      </c>
      <c r="F83" s="3">
        <v>-808.56</v>
      </c>
      <c r="G83" s="3">
        <v>17.71</v>
      </c>
      <c r="H83" s="3">
        <v>56.03</v>
      </c>
      <c r="I83" s="3">
        <v>-102.63</v>
      </c>
      <c r="J83" s="3">
        <v>-508.21</v>
      </c>
      <c r="K83" s="3">
        <v>-923.31</v>
      </c>
    </row>
    <row r="84" spans="1:11" s="7" customFormat="1" ht="15">
      <c r="A84" s="7" t="s">
        <v>49</v>
      </c>
      <c r="B84" s="3">
        <v>-13.33</v>
      </c>
      <c r="C84" s="3">
        <v>-51.36</v>
      </c>
      <c r="D84" s="3">
        <v>-74.31</v>
      </c>
      <c r="E84" s="3">
        <v>37.47</v>
      </c>
      <c r="F84" s="3">
        <v>451.94</v>
      </c>
      <c r="G84" s="3">
        <v>-283.11</v>
      </c>
      <c r="H84" s="3">
        <v>-107.98</v>
      </c>
      <c r="I84" s="3">
        <v>-491.41</v>
      </c>
      <c r="J84" s="3">
        <v>-629.45000000000005</v>
      </c>
      <c r="K84" s="3">
        <v>-693.67</v>
      </c>
    </row>
    <row r="85" spans="1:11" s="1" customFormat="1" ht="15">
      <c r="A85" s="7" t="s">
        <v>50</v>
      </c>
      <c r="B85" s="3">
        <v>-2.31</v>
      </c>
      <c r="C85" s="3">
        <v>7.38</v>
      </c>
      <c r="D85" s="3">
        <v>-1.47</v>
      </c>
      <c r="E85" s="3">
        <v>21.42</v>
      </c>
      <c r="F85" s="3">
        <v>4.54</v>
      </c>
      <c r="G85" s="3">
        <v>19.63</v>
      </c>
      <c r="H85" s="3">
        <v>6.13</v>
      </c>
      <c r="I85" s="3">
        <v>0.84</v>
      </c>
      <c r="J85" s="3">
        <v>211.32</v>
      </c>
      <c r="K85" s="3">
        <v>43.92</v>
      </c>
    </row>
    <row r="86" spans="1:11" ht="15">
      <c r="A86" s="7"/>
      <c r="I86" s="2">
        <f>SUM(H67:H68)-SUM(I67:I68)</f>
        <v>-509.51000000000022</v>
      </c>
      <c r="J86" s="2">
        <f t="shared" ref="J86:K86" si="0">SUM(I67:I68)-SUM(J67:J68)</f>
        <v>-268.91999999999985</v>
      </c>
      <c r="K86" s="2">
        <f t="shared" si="0"/>
        <v>-443.53</v>
      </c>
    </row>
    <row r="87" spans="1:11" ht="15">
      <c r="A87" s="7"/>
      <c r="I87" s="2">
        <f>I86+I83</f>
        <v>-612.14000000000021</v>
      </c>
      <c r="J87" s="2">
        <f t="shared" ref="J87:K87" si="1">J86+J83</f>
        <v>-777.12999999999988</v>
      </c>
      <c r="K87" s="2">
        <f t="shared" si="1"/>
        <v>-1366.84</v>
      </c>
    </row>
    <row r="88" spans="1:11">
      <c r="A88" s="2" t="s">
        <v>51</v>
      </c>
      <c r="I88" s="2">
        <f>'[1]DCF Model'!E43*(1-Tax_rate)</f>
        <v>465.34500000000105</v>
      </c>
      <c r="J88" s="2">
        <f>'[1]DCF Model'!F43*(1-Tax_rate)</f>
        <v>974.68500000000029</v>
      </c>
      <c r="K88" s="2">
        <f>'[1]DCF Model'!G43*(1-Tax_rate)</f>
        <v>1443.5849999999998</v>
      </c>
    </row>
    <row r="89" spans="1:11" ht="15">
      <c r="A89" s="7"/>
      <c r="I89" s="2">
        <f>I87/I88</f>
        <v>-1.3154541254338155</v>
      </c>
      <c r="J89" s="2">
        <f t="shared" ref="J89:K89" si="2">J87/J88</f>
        <v>-0.79731400401155206</v>
      </c>
      <c r="K89" s="2">
        <f t="shared" si="2"/>
        <v>-0.94683721429635259</v>
      </c>
    </row>
    <row r="90" spans="1:11" ht="15">
      <c r="A90" s="7"/>
    </row>
    <row r="91" spans="1:11" ht="15">
      <c r="A91" s="7"/>
    </row>
    <row r="92" spans="1:11" ht="15">
      <c r="A92" s="7"/>
    </row>
    <row r="93" spans="1:11" s="1" customFormat="1" ht="15">
      <c r="A93" s="1" t="s">
        <v>52</v>
      </c>
      <c r="B93" s="3">
        <v>159.18</v>
      </c>
      <c r="C93" s="3">
        <v>266.7</v>
      </c>
      <c r="D93" s="3">
        <v>345.05</v>
      </c>
      <c r="E93" s="3">
        <v>361.9</v>
      </c>
      <c r="F93" s="3">
        <v>484.35</v>
      </c>
      <c r="G93" s="3">
        <v>751.05</v>
      </c>
      <c r="H93" s="3">
        <v>1275.5</v>
      </c>
      <c r="I93" s="3">
        <v>1374.95</v>
      </c>
      <c r="J93" s="3">
        <v>3948</v>
      </c>
      <c r="K93" s="3">
        <v>5325.15</v>
      </c>
    </row>
    <row r="95" spans="1:11" s="1" customFormat="1" ht="15">
      <c r="A95" s="1" t="s">
        <v>53</v>
      </c>
    </row>
    <row r="96" spans="1:11">
      <c r="A96" s="2" t="s">
        <v>54</v>
      </c>
      <c r="B96" s="8">
        <v>33.229999999999997</v>
      </c>
      <c r="C96" s="8">
        <v>33.229999999999997</v>
      </c>
      <c r="D96" s="8">
        <v>33.229999999999997</v>
      </c>
      <c r="E96" s="8">
        <v>33.229999999999997</v>
      </c>
      <c r="F96" s="8">
        <v>35.549999999999997</v>
      </c>
      <c r="G96" s="8">
        <v>35.549999999999997</v>
      </c>
      <c r="H96" s="8">
        <v>35.549999999999997</v>
      </c>
      <c r="I96" s="8">
        <v>35.549999999999997</v>
      </c>
      <c r="J96" s="8">
        <v>35.549999999999997</v>
      </c>
      <c r="K96" s="8">
        <v>35.549999999999997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4DA0E984-DACB-4AAA-A262-AC7B7CB2F5D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Comps</vt:lpstr>
      <vt:lpstr>Data Sheet</vt:lpstr>
      <vt:lpstr>Comps!Print_Area</vt:lpstr>
      <vt:lpstr>Tax_rate</vt:lpstr>
      <vt:lpstr>'Data Sheet'!UPDATE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kumar</dc:creator>
  <cp:lastModifiedBy>piyush kumar</cp:lastModifiedBy>
  <dcterms:created xsi:type="dcterms:W3CDTF">2026-01-17T11:35:38Z</dcterms:created>
  <dcterms:modified xsi:type="dcterms:W3CDTF">2026-01-20T15:43:27Z</dcterms:modified>
</cp:coreProperties>
</file>